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c61169674647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f29e12144624072"/>
    <x:sheet xmlns:r="http://schemas.openxmlformats.org/officeDocument/2006/relationships" name="README" sheetId="2" r:id="R47b7e34b12e34156"/>
    <x:sheet xmlns:r="http://schemas.openxmlformats.org/officeDocument/2006/relationships" name="Architecture" sheetId="3" r:id="R0efffa2eb9924e51"/>
    <x:sheet xmlns:r="http://schemas.openxmlformats.org/officeDocument/2006/relationships" name="Phase Plan" sheetId="4" r:id="R0536a4039ea7468c"/>
    <x:sheet xmlns:r="http://schemas.openxmlformats.org/officeDocument/2006/relationships" name="Detailed Steps" sheetId="5" r:id="R38dc2fba812f4ccf"/>
    <x:sheet xmlns:r="http://schemas.openxmlformats.org/officeDocument/2006/relationships" name="Hardware BOM" sheetId="6" r:id="R7cd3ea740b55420b"/>
    <x:sheet xmlns:r="http://schemas.openxmlformats.org/officeDocument/2006/relationships" name="Config Tracker" sheetId="7" r:id="R1f112570dbc14184"/>
    <x:sheet xmlns:r="http://schemas.openxmlformats.org/officeDocument/2006/relationships" name="Packet Protocol" sheetId="8" r:id="Rbc658cb8582b4c02"/>
    <x:sheet xmlns:r="http://schemas.openxmlformats.org/officeDocument/2006/relationships" name="Backend APIs" sheetId="9" r:id="Rb6f40f7750d14aff"/>
    <x:sheet xmlns:r="http://schemas.openxmlformats.org/officeDocument/2006/relationships" name="Database Schema" sheetId="10" r:id="R9c0a211094494181"/>
    <x:sheet xmlns:r="http://schemas.openxmlformats.org/officeDocument/2006/relationships" name="Dashboard UX" sheetId="11" r:id="R5265267259bd44fe"/>
    <x:sheet xmlns:r="http://schemas.openxmlformats.org/officeDocument/2006/relationships" name="AI &amp; Detection" sheetId="12" r:id="R0eb06373f9fe41ee"/>
    <x:sheet xmlns:r="http://schemas.openxmlformats.org/officeDocument/2006/relationships" name="Camera &amp; Recording" sheetId="13" r:id="R02ae6d1a88874229"/>
    <x:sheet xmlns:r="http://schemas.openxmlformats.org/officeDocument/2006/relationships" name="Deployment DevOps" sheetId="14" r:id="R7157da448e22414f"/>
    <x:sheet xmlns:r="http://schemas.openxmlformats.org/officeDocument/2006/relationships" name="Test Campaign" sheetId="15" r:id="R89d9a59c0e724548"/>
    <x:sheet xmlns:r="http://schemas.openxmlformats.org/officeDocument/2006/relationships" name="Progress Tracker" sheetId="16" r:id="R99d4a9bfbebe4d1a"/>
    <x:sheet xmlns:r="http://schemas.openxmlformats.org/officeDocument/2006/relationships" name="Issue Log" sheetId="17" r:id="R0d27d3af62544351"/>
    <x:sheet xmlns:r="http://schemas.openxmlformats.org/officeDocument/2006/relationships" name="Decision Log" sheetId="18" r:id="R45826979007a43f6"/>
    <x:sheet xmlns:r="http://schemas.openxmlformats.org/officeDocument/2006/relationships" name="Risk Register" sheetId="19" r:id="R59cdad319735489a"/>
    <x:sheet xmlns:r="http://schemas.openxmlformats.org/officeDocument/2006/relationships" name="System Diagram" sheetId="20" r:id="R8b57b81a04794a1b"/>
    <x:sheet xmlns:r="http://schemas.openxmlformats.org/officeDocument/2006/relationships" name="Data Flow" sheetId="21" r:id="Rd24689e6069c47a1"/>
    <x:sheet xmlns:r="http://schemas.openxmlformats.org/officeDocument/2006/relationships" name="Codex GitHub Workflow" sheetId="22" r:id="Re8e583d592bb4227"/>
    <x:sheet xmlns:r="http://schemas.openxmlformats.org/officeDocument/2006/relationships" name="Codex Task Prompts" sheetId="23" r:id="R31c12182ec734878"/>
    <x:sheet xmlns:r="http://schemas.openxmlformats.org/officeDocument/2006/relationships" name="Repo Structure" sheetId="24" r:id="Rbe8a746420dd4fd3"/>
    <x:sheet xmlns:r="http://schemas.openxmlformats.org/officeDocument/2006/relationships" name="Change Log" sheetId="25" r:id="R152c212398b74c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name val="Carlito"/>
    </x:font>
    <x:font>
      <x:b/>
      <x:sz val="16"/>
      <x:name val="Carlito"/>
    </x:font>
    <x:font>
      <x:b/>
      <x:sz val="16"/>
      <x:color rgb="FFFFFF"/>
      <x:name val="Carlito"/>
    </x:font>
    <x:font>
      <x:i/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7A1F1F"/>
      </x:patternFill>
    </x:fill>
    <x:fill>
      <x:patternFill patternType="solid">
        <x:fgColor rgb="FCE4D6"/>
      </x:patternFill>
    </x:fill>
    <x:fill>
      <x:patternFill patternType="solid">
        <x:fgColor rgb="F3F6FA"/>
      </x:patternFill>
    </x:fill>
    <x:fill>
      <x:patternFill patternType="solid">
        <x:fgColor rgb="D9EAD3"/>
      </x:patternFill>
    </x:fill>
    <x:fill>
      <x:patternFill patternType="solid">
        <x:fgColor rgb="1F4E78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24db797c314ddd" /><Relationship Type="http://schemas.openxmlformats.org/officeDocument/2006/relationships/theme" Target="/xl/theme/theme1.xml" Id="Rde8706d510f64117" /><Relationship Type="http://schemas.openxmlformats.org/officeDocument/2006/relationships/sharedStrings" Target="/xl/sharedStrings.xml" Id="R4fb19c56c099482a" /><Relationship Type="http://schemas.openxmlformats.org/officeDocument/2006/relationships/worksheet" Target="/xl/worksheets/sheet1.xml" Id="Rff29e12144624072" /><Relationship Type="http://schemas.openxmlformats.org/officeDocument/2006/relationships/worksheet" Target="/xl/worksheets/sheet2.xml" Id="R47b7e34b12e34156" /><Relationship Type="http://schemas.openxmlformats.org/officeDocument/2006/relationships/worksheet" Target="/xl/worksheets/sheet3.xml" Id="R0efffa2eb9924e51" /><Relationship Type="http://schemas.openxmlformats.org/officeDocument/2006/relationships/worksheet" Target="/xl/worksheets/sheet4.xml" Id="R0536a4039ea7468c" /><Relationship Type="http://schemas.openxmlformats.org/officeDocument/2006/relationships/worksheet" Target="/xl/worksheets/sheet5.xml" Id="R38dc2fba812f4ccf" /><Relationship Type="http://schemas.openxmlformats.org/officeDocument/2006/relationships/worksheet" Target="/xl/worksheets/sheet6.xml" Id="R7cd3ea740b55420b" /><Relationship Type="http://schemas.openxmlformats.org/officeDocument/2006/relationships/worksheet" Target="/xl/worksheets/sheet7.xml" Id="R1f112570dbc14184" /><Relationship Type="http://schemas.openxmlformats.org/officeDocument/2006/relationships/worksheet" Target="/xl/worksheets/sheet8.xml" Id="Rbc658cb8582b4c02" /><Relationship Type="http://schemas.openxmlformats.org/officeDocument/2006/relationships/worksheet" Target="/xl/worksheets/sheet9.xml" Id="Rb6f40f7750d14aff" /><Relationship Type="http://schemas.openxmlformats.org/officeDocument/2006/relationships/worksheet" Target="/xl/worksheets/sheet10.xml" Id="R9c0a211094494181" /><Relationship Type="http://schemas.openxmlformats.org/officeDocument/2006/relationships/worksheet" Target="/xl/worksheets/sheet11.xml" Id="R5265267259bd44fe" /><Relationship Type="http://schemas.openxmlformats.org/officeDocument/2006/relationships/worksheet" Target="/xl/worksheets/sheet12.xml" Id="R0eb06373f9fe41ee" /><Relationship Type="http://schemas.openxmlformats.org/officeDocument/2006/relationships/worksheet" Target="/xl/worksheets/sheet13.xml" Id="R02ae6d1a88874229" /><Relationship Type="http://schemas.openxmlformats.org/officeDocument/2006/relationships/worksheet" Target="/xl/worksheets/sheet14.xml" Id="R7157da448e22414f" /><Relationship Type="http://schemas.openxmlformats.org/officeDocument/2006/relationships/worksheet" Target="/xl/worksheets/sheet15.xml" Id="R89d9a59c0e724548" /><Relationship Type="http://schemas.openxmlformats.org/officeDocument/2006/relationships/worksheet" Target="/xl/worksheets/sheet16.xml" Id="R99d4a9bfbebe4d1a" /><Relationship Type="http://schemas.openxmlformats.org/officeDocument/2006/relationships/worksheet" Target="/xl/worksheets/sheet17.xml" Id="R0d27d3af62544351" /><Relationship Type="http://schemas.openxmlformats.org/officeDocument/2006/relationships/worksheet" Target="/xl/worksheets/sheet18.xml" Id="R45826979007a43f6" /><Relationship Type="http://schemas.openxmlformats.org/officeDocument/2006/relationships/worksheet" Target="/xl/worksheets/sheet19.xml" Id="R59cdad319735489a" /><Relationship Type="http://schemas.openxmlformats.org/officeDocument/2006/relationships/worksheet" Target="/xl/worksheets/sheet20.xml" Id="R8b57b81a04794a1b" /><Relationship Type="http://schemas.openxmlformats.org/officeDocument/2006/relationships/worksheet" Target="/xl/worksheets/sheet21.xml" Id="Rd24689e6069c47a1" /><Relationship Type="http://schemas.openxmlformats.org/officeDocument/2006/relationships/worksheet" Target="/xl/worksheets/sheet22.xml" Id="Re8e583d592bb4227" /><Relationship Type="http://schemas.openxmlformats.org/officeDocument/2006/relationships/worksheet" Target="/xl/worksheets/sheet23.xml" Id="R31c12182ec734878" /><Relationship Type="http://schemas.openxmlformats.org/officeDocument/2006/relationships/worksheet" Target="/xl/worksheets/sheet24.xml" Id="Rbe8a746420dd4fd3" /><Relationship Type="http://schemas.openxmlformats.org/officeDocument/2006/relationships/worksheet" Target="/xl/worksheets/sheet25.xml" Id="R152c212398b74c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ADM FireNode Forest Monitoring Workbook - Dashboard</x:v>
      </x:c>
      <x:c r="B1" s="4"/>
      <x:c r="C1" s="4"/>
      <x:c r="D1" s="4"/>
      <x:c r="E1" s="4"/>
      <x:c r="F1" s="4"/>
      <x:c r="G1" s="4"/>
      <x:c r="H1" s="4"/>
    </x:row>
    <x:row r="2">
      <x:c r="A2" s="6" t="str">
        <x:v>Living source of truth for the hybrid LoRa + Wi-Fi FireNode implementation. Update this workbook after every major completed step.</x:v>
      </x:c>
      <x:c r="B2" s="6"/>
      <x:c r="C2" s="6"/>
      <x:c r="D2" s="6"/>
      <x:c r="E2" s="6"/>
      <x:c r="F2" s="6"/>
      <x:c r="G2" s="6"/>
      <x:c r="H2" s="6"/>
    </x:row>
    <x:row r="3">
      <x:c r="A3" s="8" t="str">
        <x:v>Total Steps</x:v>
      </x:c>
      <x:c r="B3" s="7" t="n">
        <x:f>COUNTA('Progress Tracker'!A4:A200)</x:f>
        <x:v>27</x:v>
      </x:c>
    </x:row>
    <x:row r="4">
      <x:c r="A4" s="8" t="str">
        <x:v>Done</x:v>
      </x:c>
      <x:c r="B4" s="7" t="n">
        <x:f>COUNTIF('Progress Tracker'!D4:D200,"Done")</x:f>
        <x:v>25</x:v>
      </x:c>
    </x:row>
    <x:row r="5">
      <x:c r="A5" s="8" t="str">
        <x:v>In Progress</x:v>
      </x:c>
      <x:c r="B5" s="7" t="n">
        <x:f>COUNTIF('Progress Tracker'!D4:D200,"In Progress")</x:f>
        <x:v>0</x:v>
      </x:c>
    </x:row>
    <x:row r="6">
      <x:c r="A6" s="8" t="str">
        <x:v>Blocked</x:v>
      </x:c>
      <x:c r="B6" s="7" t="n">
        <x:f>COUNTIF('Progress Tracker'!D4:D200,"Blocked")</x:f>
        <x:v>0</x:v>
      </x:c>
    </x:row>
    <x:row r="7">
      <x:c r="A7" s="8" t="str">
        <x:v>Not Started</x:v>
      </x:c>
      <x:c r="B7" s="7" t="n">
        <x:f>COUNTIF('Progress Tracker'!D4:D200,"Not Started")</x:f>
        <x:v>2</x:v>
      </x:c>
    </x:row>
    <x:row r="8">
      <x:c r="A8" s="8" t="str">
        <x:v>Completion</x:v>
      </x:c>
      <x:c r="B8" s="7" t="str">
        <x:f>TEXT(IF(B3=0,0,B4/B3),"0%")</x:f>
        <x:v>93%</x:v>
      </x:c>
    </x:row>
    <x:row r="9">
      <x:c r="A9" s="8" t="str">
        <x:v>Current Stage</x:v>
      </x:c>
      <x:c r="B9" s="7" t="str">
        <x:f>"Simulation baseline verified"</x:f>
        <x:v>Simulation baseline verified</x:v>
      </x:c>
    </x:row>
    <x:row r="10">
      <x:c r="A10" s="8" t="str">
        <x:v>Next Action</x:v>
      </x:c>
      <x:c r="B10" s="7" t="str">
        <x:f>"Install PlatformIO locally, enable GitHub workflow scope, or connect hardware for field validation"</x:f>
        <x:v>Install PlatformIO locally, enable GitHub workflow scope, or connect hardware for field validation</x:v>
      </x:c>
    </x:row>
    <x:row r="12">
      <x:c r="A12" s="10" t="str">
        <x:v>Recommended Current Architecture</x:v>
      </x:c>
      <x:c r="B12" s="10"/>
      <x:c r="C12" s="10"/>
      <x:c r="D12" s="10"/>
      <x:c r="E12" s="10"/>
      <x:c r="F12" s="10"/>
      <x:c r="G12" s="10"/>
      <x:c r="H12" s="10"/>
    </x:row>
    <x:row r="13">
      <x:c r="A13" s="16" t="str">
        <x:v>Layer</x:v>
      </x:c>
      <x:c r="B13" s="16" t="str">
        <x:v>Recommended Implementation</x:v>
      </x:c>
      <x:c r="C13" s="16" t="str">
        <x:v>Reason</x:v>
      </x:c>
      <x:c r="D13" s="16" t="str">
        <x:v>Status</x:v>
      </x:c>
      <x:c r="E13" s="16" t="str">
        <x:v>Owner</x:v>
      </x:c>
      <x:c r="F13" s="16" t="str">
        <x:v>Date</x:v>
      </x:c>
      <x:c r="G13" s="16" t="str">
        <x:v>Evidence</x:v>
      </x:c>
      <x:c r="H13" s="16" t="str">
        <x:v>Notes</x:v>
      </x:c>
    </x:row>
    <x:row r="14">
      <x:c r="A14" s="17" t="str">
        <x:v>Topology</x:v>
      </x:c>
      <x:c r="B14" s="17" t="str">
        <x:v>4 Raspberry Pi field units: 1 center/main server node and 3 remote nodes</x:v>
      </x:c>
      <x:c r="C14" s="17" t="str">
        <x:v>Matches client clarification and Zoom meeting</x:v>
      </x:c>
      <x:c r="D14" s="17" t="str">
        <x:v>Approved</x:v>
      </x:c>
      <x:c r="E14" s="17" t="str">
        <x:v>Codex/User</x:v>
      </x:c>
      <x:c r="F14" s="17" t="str">
        <x:v>2026-05-13</x:v>
      </x:c>
      <x:c r="G14" s="17" t="str">
        <x:v>User clarification 2026-05-13; Zoom transcript; FireDiagram.png</x:v>
      </x:c>
      <x:c r="H14" s="17" t="str">
        <x:v>Main server is physically installed on the center/backup node.</x:v>
      </x:c>
    </x:row>
    <x:row r="15">
      <x:c r="A15" s="17" t="str">
        <x:v>Telemetry</x:v>
      </x:c>
      <x:c r="B15" s="17" t="str">
        <x:v>LoRa for sensor readings, alerts, RSSI/SNR, and heartbeat packets</x:v>
      </x:c>
      <x:c r="C15" s="17" t="str">
        <x:v>PDF and client meeting prioritize LoRa for range and sensor communication</x:v>
      </x:c>
      <x:c r="D15" s="17" t="str">
        <x:v>Approved</x:v>
      </x:c>
      <x:c r="E15" s="17" t="str">
        <x:v>Codex/User</x:v>
      </x:c>
      <x:c r="F15" s="17" t="str">
        <x:v>2026-05-13</x:v>
      </x:c>
      <x:c r="G15" s="17" t="str">
        <x:v>Details-protoLORA.pdf; Zoom transcript</x:v>
      </x:c>
      <x:c r="H15" s="17" t="str">
        <x:v>Wi-Fi is not the canonical telemetry path.</x:v>
      </x:c>
    </x:row>
    <x:row r="16">
      <x:c r="A16" s="17" t="str">
        <x:v>Video</x:v>
      </x:c>
      <x:c r="B16" s="17" t="str">
        <x:v>Wi-Fi for daytime camera feeds from every node and dashboard viewing</x:v>
      </x:c>
      <x:c r="C16" s="17" t="str">
        <x:v>LoRa cannot carry camera streams; meeting allowed Wi-Fi for image/live view</x:v>
      </x:c>
      <x:c r="D16" s="17" t="str">
        <x:v>Approved</x:v>
      </x:c>
      <x:c r="E16" s="17" t="str">
        <x:v>Codex/User</x:v>
      </x:c>
      <x:c r="F16" s="17" t="str">
        <x:v>2026-05-13</x:v>
      </x:c>
      <x:c r="G16" s="17" t="str">
        <x:v>Zoom transcript and user clarification</x:v>
      </x:c>
      <x:c r="H16" s="17" t="str">
        <x:v>All nodes and main server have their own daytime camera.</x:v>
      </x:c>
    </x:row>
    <x:row r="17">
      <x:c r="A17" s="17" t="str">
        <x:v>Thermal</x:v>
      </x:c>
      <x:c r="B17" s="17" t="str">
        <x:v>Single MLX90640 on main/center server only</x:v>
      </x:c>
      <x:c r="C17" s="17" t="str">
        <x:v>Latest user instruction overrides older 4-thermal-camera slide</x:v>
      </x:c>
      <x:c r="D17" s="17" t="str">
        <x:v>Approved</x:v>
      </x:c>
      <x:c r="E17" s="17" t="str">
        <x:v>User</x:v>
      </x:c>
      <x:c r="F17" s="17" t="str">
        <x:v>2026-05-13</x:v>
      </x:c>
      <x:c r="G17" s="17" t="str">
        <x:v>User clarification</x:v>
      </x:c>
      <x:c r="H17" s="17" t="str">
        <x:v>Remote nodes do not include thermal camera in final design.</x:v>
      </x:c>
    </x:row>
    <x:row r="18">
      <x:c r="A18" s="17" t="str">
        <x:v>Audio</x:v>
      </x:c>
      <x:c r="B18" s="17" t="str">
        <x:v>RPi-based chainsaw detector on node and main programs; improve current FFT/RMS detector</x:v>
      </x:c>
      <x:c r="C18" s="17" t="str">
        <x:v>Existing ZIP has working detector.py and RPi can handle audio better than ESP32</x:v>
      </x:c>
      <x:c r="D18" s="17" t="str">
        <x:v>Approved</x:v>
      </x:c>
      <x:c r="E18" s="17" t="str">
        <x:v>Codex</x:v>
      </x:c>
      <x:c r="F18" s="17" t="str">
        <x:v>2026-05-13</x:v>
      </x:c>
      <x:c r="G18" s="17" t="str">
        <x:v>firenode RPi ZIPs</x:v>
      </x:c>
      <x:c r="H18" s="17" t="str">
        <x:v>Use ESP32 only for lightweight sensors and LoRa support.</x:v>
      </x:c>
    </x:row>
    <x:row r="19">
      <x:c r="A19" s="17" t="str">
        <x:v>Power</x:v>
      </x:c>
      <x:c r="B19" s="17" t="str">
        <x:v>Each field unit uses 12V battery with fused buck conversion and battery telemetry</x:v>
      </x:c>
      <x:c r="C19" s="17" t="str">
        <x:v>User clarified all nodes/main use 12V 40A batteries</x:v>
      </x:c>
      <x:c r="D19" s="17" t="str">
        <x:v>Approved</x:v>
      </x:c>
      <x:c r="E19" s="17" t="str">
        <x:v>User</x:v>
      </x:c>
      <x:c r="F19" s="17" t="str">
        <x:v>2026-05-13</x:v>
      </x:c>
      <x:c r="G19" s="17" t="str">
        <x:v>User clarification</x:v>
      </x:c>
      <x:c r="H19" s="17" t="str">
        <x:v>Add voltage divider + low-voltage warning.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ADM FireNode Implementation Workbook</x:v>
      </x:c>
      <x:c r="B1" s="4"/>
      <x:c r="C1" s="4"/>
      <x:c r="D1" s="4"/>
      <x:c r="E1" s="4"/>
      <x:c r="F1" s="4"/>
      <x:c r="G1" s="4"/>
      <x:c r="H1" s="4"/>
    </x:row>
    <x:row r="2">
      <x:c r="A2" s="6" t="str">
        <x:v>How to use this workbook as the recovery reference if the chat breaks.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Topic</x:v>
      </x:c>
      <x:c r="B4" s="16" t="str">
        <x:v>Workbook Rule</x:v>
      </x:c>
      <x:c r="C4" s="16" t="str">
        <x:v>Why It Matters</x:v>
      </x:c>
      <x:c r="D4" s="16" t="str">
        <x:v>Update Trigger</x:v>
      </x:c>
      <x:c r="E4" s="16" t="str">
        <x:v>Owner</x:v>
      </x:c>
    </x:row>
    <x:row r="5">
      <x:c r="A5" s="17" t="str">
        <x:v>Source of truth</x:v>
      </x:c>
      <x:c r="B5" s="17" t="str">
        <x:v>Workbook plus GitHub repository are the project memory</x:v>
      </x:c>
      <x:c r="C5" s="17" t="str">
        <x:v>Allows continuation after chat loss</x:v>
      </x:c>
      <x:c r="D5" s="17" t="str">
        <x:v>Every completed major step</x:v>
      </x:c>
      <x:c r="E5" s="17" t="str">
        <x:v>Codex/User</x:v>
      </x:c>
    </x:row>
    <x:row r="6">
      <x:c r="A6" s="17" t="str">
        <x:v>Workbook updates</x:v>
      </x:c>
      <x:c r="B6" s="17" t="str">
        <x:v>Update Progress Tracker, Change Log, Decision Log, and affected technical sheets</x:v>
      </x:c>
      <x:c r="C6" s="17" t="str">
        <x:v>Keeps implementation traceable</x:v>
      </x:c>
      <x:c r="D6" s="17" t="str">
        <x:v>After design, code, test, hardware, or deployment milestone</x:v>
      </x:c>
      <x:c r="E6" s="17" t="str">
        <x:v>Codex</x:v>
      </x:c>
    </x:row>
    <x:row r="7">
      <x:c r="A7" s="17" t="str">
        <x:v>GitHub updates</x:v>
      </x:c>
      <x:c r="B7" s="17" t="str">
        <x:v>Commit code and workbook together in the same logical change</x:v>
      </x:c>
      <x:c r="C7" s="17" t="str">
        <x:v>Workbook always matches code state</x:v>
      </x:c>
      <x:c r="D7" s="17" t="str">
        <x:v>After local verification</x:v>
      </x:c>
      <x:c r="E7" s="17" t="str">
        <x:v>Codex/User</x:v>
      </x:c>
    </x:row>
    <x:row r="8">
      <x:c r="A8" s="17" t="str">
        <x:v>Hardware validation</x:v>
      </x:c>
      <x:c r="B8" s="17" t="str">
        <x:v>Record physical results in Test Campaign and Issue Log</x:v>
      </x:c>
      <x:c r="C8" s="17" t="str">
        <x:v>Codex cannot verify field hardware without user evidence</x:v>
      </x:c>
      <x:c r="D8" s="17" t="str">
        <x:v>After each field bench/forest test</x:v>
      </x:c>
      <x:c r="E8" s="17" t="str">
        <x:v>User</x:v>
      </x:c>
    </x:row>
    <x:row r="9">
      <x:c r="A9" s="17" t="str">
        <x:v>Repository status</x:v>
      </x:c>
      <x:c r="B9" s="17" t="str">
        <x:v>Current ADM Fire folder is not a Git repository</x:v>
      </x:c>
      <x:c r="C9" s="17" t="str">
        <x:v>Cannot push until repo/branch is provided</x:v>
      </x:c>
      <x:c r="D9" s="17" t="str">
        <x:v>Before first GitHub sync</x:v>
      </x:c>
      <x:c r="E9" s="17" t="str">
        <x:v>User</x:v>
      </x:c>
    </x:row>
    <x:row r="12">
      <x:c r="A12" s="10" t="str">
        <x:v>Artifact Sources Incorporated</x:v>
      </x:c>
      <x:c r="B12" s="10"/>
      <x:c r="C12" s="10"/>
      <x:c r="D12" s="10"/>
      <x:c r="E12" s="10"/>
      <x:c r="F12" s="10"/>
      <x:c r="G12" s="10"/>
      <x:c r="H12" s="10"/>
    </x:row>
    <x:row r="13">
      <x:c r="A13" s="16" t="str">
        <x:v>Artifact</x:v>
      </x:c>
      <x:c r="B13" s="16" t="str">
        <x:v>Path / Source</x:v>
      </x:c>
      <x:c r="C13" s="16" t="str">
        <x:v>Used For</x:v>
      </x:c>
      <x:c r="D13" s="16" t="str">
        <x:v>Important Notes</x:v>
      </x:c>
    </x:row>
    <x:row r="14">
      <x:c r="A14" s="17" t="str">
        <x:v>Details-protoLORA.pdf</x:v>
      </x:c>
      <x:c r="B14" s="17" t="str">
        <x:v>/Users/.../ADM Fire/Details-protoLORA.pdf</x:v>
      </x:c>
      <x:c r="C14" s="17" t="str">
        <x:v>Objectives, validation, LoRa, algorithms, component options</x:v>
      </x:c>
      <x:c r="D14" s="17" t="str">
        <x:v>LoRa-first requirements and PDR &gt;70%.</x:v>
      </x:c>
    </x:row>
    <x:row r="15">
      <x:c r="A15" s="17" t="str">
        <x:v>FireDiagram.png</x:v>
      </x:c>
      <x:c r="B15" s="17" t="str">
        <x:v>/Users/.../ADM Fire/FireDiagram.png</x:v>
      </x:c>
      <x:c r="C15" s="17" t="str">
        <x:v>Topology, dashboard, camera rules, siren</x:v>
      </x:c>
      <x:c r="D15" s="17" t="str">
        <x:v>Older diagram mentioned 4 thermal modules; overridden.</x:v>
      </x:c>
    </x:row>
    <x:row r="16">
      <x:c r="A16" s="17" t="str">
        <x:v>RPi ZIP v4</x:v>
      </x:c>
      <x:c r="B16" s="17" t="str">
        <x:v>firenode_rpi_main_server_mlx90640_v4_2_three_nodes_simulation.zip</x:v>
      </x:c>
      <x:c r="C16" s="17" t="str">
        <x:v>Main server dashboard, MLX90640, camera, chainsaw detector</x:v>
      </x:c>
      <x:c r="D16" s="17" t="str">
        <x:v>Best current RPi base.</x:v>
      </x:c>
    </x:row>
    <x:row r="17">
      <x:c r="A17" s="17" t="str">
        <x:v>RPi ZIP v3</x:v>
      </x:c>
      <x:c r="B17" s="17" t="str">
        <x:v>firenode_rpi_unified_system_v3_manual_start.zip</x:v>
      </x:c>
      <x:c r="C17" s="17" t="str">
        <x:v>Earlier manual-start baseline</x:v>
      </x:c>
      <x:c r="D17" s="17" t="str">
        <x:v>Reference only.</x:v>
      </x:c>
    </x:row>
    <x:row r="18">
      <x:c r="A18" s="17" t="str">
        <x:v>Zoom VTT/MP4</x:v>
      </x:c>
      <x:c r="B18" s="17" t="str">
        <x:v>/Users/.../ADM Lora Forest Fire/GMT20260331-121759_*</x:v>
      </x:c>
      <x:c r="C18" s="17" t="str">
        <x:v>Client decisions and topology</x:v>
      </x:c>
      <x:c r="D18" s="17" t="str">
        <x:v>Hybrid LoRa + Wi-Fi confirmed.</x:v>
      </x:c>
    </x:row>
    <x:row r="19">
      <x:c r="A19" s="17" t="str">
        <x:v>ESP32 PlatformIO firmware</x:v>
      </x:c>
      <x:c r="B19" s="17" t="str">
        <x:v>/Users/.../ADM Fire/ESP/FireNode_ESP32_v5</x:v>
      </x:c>
      <x:c r="C19" s="17" t="str">
        <x:v>LoRa sender and ESP32 sensor base</x:v>
      </x:c>
      <x:c r="D19" s="17" t="str">
        <x:v>Workspace artifact not originally named, but useful.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FireNode Architecture Summary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Implementation-ready decisions aligned to PDF, PNG, ZIP code, Zoom meeting, and latest clarifications.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Item</x:v>
      </x:c>
      <x:c r="B4" s="16" t="str">
        <x:v>Decision</x:v>
      </x:c>
      <x:c r="C4" s="16" t="str">
        <x:v>Reason / Acceptance Link</x:v>
      </x:c>
      <x:c r="D4" s="16" t="str">
        <x:v>Status</x:v>
      </x:c>
      <x:c r="E4" s="16" t="str">
        <x:v>Evidence</x:v>
      </x:c>
      <x:c r="F4" s="16" t="str">
        <x:v>Date</x:v>
      </x:c>
      <x:c r="G4" s="16" t="str">
        <x:v>Notes</x:v>
      </x:c>
    </x:row>
    <x:row r="5">
      <x:c r="A5" s="17" t="str">
        <x:v>Primary validated path</x:v>
      </x:c>
      <x:c r="B5" s="17" t="str">
        <x:v>ESP32/RPi node sensors and RPi audio -&gt; LoRa telemetry -&gt; center/main RPi -&gt; SQLite/API/dashboard/siren</x:v>
      </x:c>
      <x:c r="C5" s="17" t="str">
        <x:v>Exercises fire, logging, packet delivery, dashboard, and event logging tests</x:v>
      </x:c>
      <x:c r="D5" s="17" t="str">
        <x:v>Approved</x:v>
      </x:c>
      <x:c r="E5" s="17" t="str">
        <x:v>PDF validation flow + client clarification</x:v>
      </x:c>
      <x:c r="F5" s="17" t="str">
        <x:v>2026-05-13</x:v>
      </x:c>
      <x:c r="G5" s="17" t="str">
        <x:v>Wi-Fi camera stream remains separate.</x:v>
      </x:c>
    </x:row>
    <x:row r="6">
      <x:c r="A6" s="17" t="str">
        <x:v>Field topology</x:v>
      </x:c>
      <x:c r="B6" s="17" t="str">
        <x:v>Center/main RPi is also the backup/center node</x:v>
      </x:c>
      <x:c r="C6" s="17" t="str">
        <x:v>User clarified physical placement</x:v>
      </x:c>
      <x:c r="D6" s="17" t="str">
        <x:v>Approved</x:v>
      </x:c>
      <x:c r="E6" s="17" t="str">
        <x:v>User answer #1</x:v>
      </x:c>
      <x:c r="F6" s="17" t="str">
        <x:v>2026-05-13</x:v>
      </x:c>
      <x:c r="G6" s="17" t="str">
        <x:v>Center node owns MLX90640.</x:v>
      </x:c>
    </x:row>
    <x:row r="7">
      <x:c r="A7" s="17" t="str">
        <x:v>Remote node compute</x:v>
      </x:c>
      <x:c r="B7" s="17" t="str">
        <x:v>Remote nodes are Raspberry Pi + ESP32</x:v>
      </x:c>
      <x:c r="C7" s="17" t="str">
        <x:v>RPi handles camera/audio; ESP32 handles sensor acquisition and LoRa</x:v>
      </x:c>
      <x:c r="D7" s="17" t="str">
        <x:v>Approved</x:v>
      </x:c>
      <x:c r="E7" s="17" t="str">
        <x:v>User answer #2</x:v>
      </x:c>
      <x:c r="F7" s="17" t="str">
        <x:v>2026-05-13</x:v>
      </x:c>
      <x:c r="G7" s="17" t="str">
        <x:v>Avoid ESP32-only audio classification risk.</x:v>
      </x:c>
    </x:row>
    <x:row r="8">
      <x:c r="A8" s="17" t="str">
        <x:v>Camera coverage</x:v>
      </x:c>
      <x:c r="B8" s="17" t="str">
        <x:v>All four nodes have daytime cameras; main dashboard views all feeds</x:v>
      </x:c>
      <x:c r="C8" s="17" t="str">
        <x:v>User clarified final camera plan</x:v>
      </x:c>
      <x:c r="D8" s="17" t="str">
        <x:v>Approved</x:v>
      </x:c>
      <x:c r="E8" s="17" t="str">
        <x:v>User answer #4</x:v>
      </x:c>
      <x:c r="F8" s="17" t="str">
        <x:v>2026-05-13</x:v>
      </x:c>
      <x:c r="G8" s="17" t="str">
        <x:v>Use fisheye or standard camera per budget/coverage.</x:v>
      </x:c>
    </x:row>
    <x:row r="9">
      <x:c r="A9" s="17" t="str">
        <x:v>Thermal coverage</x:v>
      </x:c>
      <x:c r="B9" s="17" t="str">
        <x:v>One MLX90640 only, installed on center/main RPi</x:v>
      </x:c>
      <x:c r="C9" s="17" t="str">
        <x:v>Latest instruction controls over earlier slide</x:v>
      </x:c>
      <x:c r="D9" s="17" t="str">
        <x:v>Approved</x:v>
      </x:c>
      <x:c r="E9" s="17" t="str">
        <x:v>User constraint</x:v>
      </x:c>
      <x:c r="F9" s="17" t="str">
        <x:v>2026-05-13</x:v>
      </x:c>
      <x:c r="G9" s="17" t="str">
        <x:v>Used primarily for night/thermal event view.</x:v>
      </x:c>
    </x:row>
    <x:row r="10">
      <x:c r="A10" s="17" t="str">
        <x:v>Power</x:v>
      </x:c>
      <x:c r="B10" s="17" t="str">
        <x:v>12V battery system for every node and main server</x:v>
      </x:c>
      <x:c r="C10" s="17" t="str">
        <x:v>User clarified power source</x:v>
      </x:c>
      <x:c r="D10" s="17" t="str">
        <x:v>Approved</x:v>
      </x:c>
      <x:c r="E10" s="17" t="str">
        <x:v>User answer #5</x:v>
      </x:c>
      <x:c r="F10" s="17" t="str">
        <x:v>2026-05-13</x:v>
      </x:c>
      <x:c r="G10" s="17" t="str">
        <x:v>Need buck converters and fusing.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Phase Plan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Build order from prototype to field-ready system.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Phase</x:v>
      </x:c>
      <x:c r="B4" s="16" t="str">
        <x:v>Goal</x:v>
      </x:c>
      <x:c r="C4" s="16" t="str">
        <x:v>Scope</x:v>
      </x:c>
      <x:c r="D4" s="16" t="str">
        <x:v>Exit Criteria</x:v>
      </x:c>
      <x:c r="E4" s="16" t="str">
        <x:v>Status</x:v>
      </x:c>
      <x:c r="F4" s="16" t="str">
        <x:v>Owner</x:v>
      </x:c>
      <x:c r="G4" s="16" t="str">
        <x:v>Dependencies</x:v>
      </x:c>
      <x:c r="H4" s="16" t="str">
        <x:v>Notes</x:v>
      </x:c>
    </x:row>
    <x:row r="5">
      <x:c r="A5" s="17" t="str">
        <x:v>Phase 0</x:v>
      </x:c>
      <x:c r="B5" s="17" t="str">
        <x:v>Local repository + workbook baseline</x:v>
      </x:c>
      <x:c r="C5" s="17" t="str">
        <x:v>Initialize local Git repo, create clean repo structure, commit workbook/code locally; push when remote is provided</x:v>
      </x:c>
      <x:c r="D5" s="17" t="str">
        <x:v>Local repo, workbook, raspi baseline, ESP32 baseline, simulation docs</x:v>
      </x:c>
      <x:c r="E5" s="17" t="str">
        <x:v>Done</x:v>
      </x:c>
      <x:c r="F5" s="17" t="str">
        <x:v>Codex/User</x:v>
      </x:c>
      <x:c r="G5" s="17" t="str">
        <x:v>GitHub repository available</x:v>
      </x:c>
      <x:c r="H5" s="17" t="str">
        <x:v>Project snapshot pushed to GitHub; CI workflow retained locally until workflow scope is available.</x:v>
      </x:c>
    </x:row>
    <x:row r="6">
      <x:c r="A6" s="17" t="str">
        <x:v>Phase 1</x:v>
      </x:c>
      <x:c r="B6" s="17" t="str">
        <x:v>Working four-node dashboard prototype</x:v>
      </x:c>
      <x:c r="C6" s="17" t="str">
        <x:v>Run RPi app on all nodes, show all daytime cameras, main thermal, existing chainsaw detector</x:v>
      </x:c>
      <x:c r="D6" s="17" t="str">
        <x:v>All feeds and local node data visible on main dashboard</x:v>
      </x:c>
      <x:c r="E6" s="17" t="str">
        <x:v>Not Started</x:v>
      </x:c>
      <x:c r="F6" s="17" t="str">
        <x:v>Codex/User</x:v>
      </x:c>
      <x:c r="G6" s="17" t="str">
        <x:v>Hardware and network access</x:v>
      </x:c>
      <x:c r="H6" s="17" t="str">
        <x:v>Use existing v4 ZIP as base.</x:v>
      </x:c>
    </x:row>
    <x:row r="7">
      <x:c r="A7" s="17" t="str">
        <x:v>Phase 2</x:v>
      </x:c>
      <x:c r="B7" s="17" t="str">
        <x:v>LoRa telemetry integration</x:v>
      </x:c>
      <x:c r="C7" s="17" t="str">
        <x:v>Add LoRa receiver service on main and node LoRa packet sender bridge</x:v>
      </x:c>
      <x:c r="D7" s="17" t="str">
        <x:v>Sensor and alert packets arrive with RSSI/SNR and timestamps</x:v>
      </x:c>
      <x:c r="E7" s="17" t="str">
        <x:v>Not Started</x:v>
      </x:c>
      <x:c r="F7" s="17" t="str">
        <x:v>Codex/User</x:v>
      </x:c>
      <x:c r="G7" s="17" t="str">
        <x:v>LoRa module wiring</x:v>
      </x:c>
      <x:c r="H7" s="17" t="str">
        <x:v>Keep Wi-Fi for setup/video.</x:v>
      </x:c>
    </x:row>
    <x:row r="8">
      <x:c r="A8" s="17" t="str">
        <x:v>Phase 3</x:v>
      </x:c>
      <x:c r="B8" s="17" t="str">
        <x:v>Persistence and alerts</x:v>
      </x:c>
      <x:c r="C8" s="17" t="str">
        <x:v>Readings DB, event DB, siren relay, alert acknowledgements</x:v>
      </x:c>
      <x:c r="D8" s="17" t="str">
        <x:v>Fire/smoke/chainsaw events logged and siren triggers</x:v>
      </x:c>
      <x:c r="E8" s="17" t="str">
        <x:v>Not Started</x:v>
      </x:c>
      <x:c r="F8" s="17" t="str">
        <x:v>Codex</x:v>
      </x:c>
      <x:c r="G8" s="17" t="str">
        <x:v>Phase 2</x:v>
      </x:c>
      <x:c r="H8" s="17" t="str">
        <x:v>Use SQLite first.</x:v>
      </x:c>
    </x:row>
    <x:row r="9">
      <x:c r="A9" s="17" t="str">
        <x:v>Phase 4</x:v>
      </x:c>
      <x:c r="B9" s="17" t="str">
        <x:v>Recording and dashboard polish</x:v>
      </x:c>
      <x:c r="C9" s="17" t="str">
        <x:v>Record camera on chainsaw; all event clips indexed; UI health cards</x:v>
      </x:c>
      <x:c r="D9" s="17" t="str">
        <x:v>Event replay from dashboard works</x:v>
      </x:c>
      <x:c r="E9" s="17" t="str">
        <x:v>Not Started</x:v>
      </x:c>
      <x:c r="F9" s="17" t="str">
        <x:v>Codex</x:v>
      </x:c>
      <x:c r="G9" s="17" t="str">
        <x:v>Phase 1/3</x:v>
      </x:c>
      <x:c r="H9" s="17" t="str">
        <x:v>Use ffmpeg/OpenCV segment recording.</x:v>
      </x:c>
    </x:row>
    <x:row r="10">
      <x:c r="A10" s="17" t="str">
        <x:v>Phase 5</x:v>
      </x:c>
      <x:c r="B10" s="17" t="str">
        <x:v>Field validation</x:v>
      </x:c>
      <x:c r="C10" s="17" t="str">
        <x:v>PDR/RSSI, alert latency, false alarm rate, battery runtime</x:v>
      </x:c>
      <x:c r="D10" s="17" t="str">
        <x:v>PDR &gt;70%, dashboard update &lt;=1 min, tests documented</x:v>
      </x:c>
      <x:c r="E10" s="17" t="str">
        <x:v>Not Started</x:v>
      </x:c>
      <x:c r="F10" s="17" t="str">
        <x:v>User/Codex</x:v>
      </x:c>
      <x:c r="G10" s="17" t="str">
        <x:v>Deployed hardware</x:v>
      </x:c>
      <x:c r="H10" s="17" t="str">
        <x:v>Record all evidence here.</x:v>
      </x:c>
    </x:row>
    <x:row r="11">
      <x:c r="A11" s="17" t="str">
        <x:v>Phase 6</x:v>
      </x:c>
      <x:c r="B11" s="17" t="str">
        <x:v>AI upgrade path</x:v>
      </x:c>
      <x:c r="C11" s="17" t="str">
        <x:v>Improve chainsaw detector and optional TFLite classifier</x:v>
      </x:c>
      <x:c r="D11" s="17" t="str">
        <x:v>Measured precision/recall improves vs baseline</x:v>
      </x:c>
      <x:c r="E11" s="17" t="str">
        <x:v>Not Started</x:v>
      </x:c>
      <x:c r="F11" s="17" t="str">
        <x:v>Codex/User</x:v>
      </x:c>
      <x:c r="G11" s="17" t="str">
        <x:v>Real audio dataset</x:v>
      </x:c>
      <x:c r="H11" s="17" t="str">
        <x:v>Baseline remains rule/feature based.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Detailed Steps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 checklist. Update Status, Evidence, and Date Completed every time work is finished.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 ID</x:v>
      </x:c>
      <x:c r="B4" s="16" t="str">
        <x:v>Workstream</x:v>
      </x:c>
      <x:c r="C4" s="16" t="str">
        <x:v>Task</x:v>
      </x:c>
      <x:c r="D4" s="16" t="str">
        <x:v>Status</x:v>
      </x:c>
      <x:c r="E4" s="16" t="str">
        <x:v>Owner</x:v>
      </x:c>
      <x:c r="F4" s="16" t="str">
        <x:v>Depends On</x:v>
      </x:c>
      <x:c r="G4" s="16" t="str">
        <x:v>Output</x:v>
      </x:c>
      <x:c r="H4" s="16" t="str">
        <x:v>Evidence / Commit</x:v>
      </x:c>
    </x:row>
    <x:row r="5">
      <x:c r="A5" s="17" t="str">
        <x:v>S001</x:v>
      </x:c>
      <x:c r="B5" s="17" t="str">
        <x:v>Project Control</x:v>
      </x:c>
      <x:c r="C5" s="17" t="str">
        <x:v>Create ADM FireNode workbook and update policy</x:v>
      </x:c>
      <x:c r="D5" s="17" t="str">
        <x:v>Done</x:v>
      </x:c>
      <x:c r="E5" s="17" t="str">
        <x:v>Codex</x:v>
      </x:c>
      <x:c r="F5" s="17" t="str">
        <x:v>Reference workbook</x:v>
      </x:c>
      <x:c r="G5" s="17" t="str">
        <x:v>Workbook created</x:v>
      </x:c>
      <x:c r="H5" s="17" t="str">
        <x:v>This file</x:v>
      </x:c>
    </x:row>
    <x:row r="6">
      <x:c r="A6" s="17" t="str">
        <x:v>S002</x:v>
      </x:c>
      <x:c r="B6" s="17" t="str">
        <x:v>GitHub</x:v>
      </x:c>
      <x:c r="C6" s="17" t="str">
        <x:v>Provide or create GitHub repository and branch</x:v>
      </x:c>
      <x:c r="D6" s="17" t="str">
        <x:v>Done</x:v>
      </x:c>
      <x:c r="E6" s="17" t="str">
        <x:v>User/Codex</x:v>
      </x:c>
      <x:c r="F6" s="17" t="str">
        <x:v>None</x:v>
      </x:c>
      <x:c r="G6" s="17" t="str">
        <x:v>Repo URL and branch</x:v>
      </x:c>
      <x:c r="H6" s="17" t="str">
        <x:v>Pushed baseline to GitHub main</x:v>
      </x:c>
    </x:row>
    <x:row r="7">
      <x:c r="A7" s="17" t="str">
        <x:v>S003</x:v>
      </x:c>
      <x:c r="B7" s="17" t="str">
        <x:v>Repo</x:v>
      </x:c>
      <x:c r="C7" s="17" t="str">
        <x:v>Import current RPi ZIP code into structured repo folders</x:v>
      </x:c>
      <x:c r="D7" s="17" t="str">
        <x:v>Done</x:v>
      </x:c>
      <x:c r="E7" s="17" t="str">
        <x:v>Codex</x:v>
      </x:c>
      <x:c r="F7" s="17" t="str">
        <x:v>S002 local workaround</x:v>
      </x:c>
      <x:c r="G7" s="17" t="str">
        <x:v>raspi/firenode-system</x:v>
      </x:c>
      <x:c r="H7" s="17" t="str">
        <x:v>Local baseline created</x:v>
      </x:c>
    </x:row>
    <x:row r="8">
      <x:c r="A8" s="17" t="str">
        <x:v>S004</x:v>
      </x:c>
      <x:c r="B8" s="17" t="str">
        <x:v>Repo</x:v>
      </x:c>
      <x:c r="C8" s="17" t="str">
        <x:v>Import ESP32 PlatformIO firmware as node firmware baseline</x:v>
      </x:c>
      <x:c r="D8" s="17" t="str">
        <x:v>Done</x:v>
      </x:c>
      <x:c r="E8" s="17" t="str">
        <x:v>Codex</x:v>
      </x:c>
      <x:c r="F8" s="17" t="str">
        <x:v>S002 local workaround</x:v>
      </x:c>
      <x:c r="G8" s="17" t="str">
        <x:v>firmware/esp32-firenode</x:v>
      </x:c>
      <x:c r="H8" s="17" t="str">
        <x:v>Local baseline created</x:v>
      </x:c>
    </x:row>
    <x:row r="9">
      <x:c r="A9" s="17" t="str">
        <x:v>S005</x:v>
      </x:c>
      <x:c r="B9" s="17" t="str">
        <x:v>Backend</x:v>
      </x:c>
      <x:c r="C9" s="17" t="str">
        <x:v>Add SQLite readings/events schema and migration scripts</x:v>
      </x:c>
      <x:c r="D9" s="17" t="str">
        <x:v>Not Started</x:v>
      </x:c>
      <x:c r="E9" s="17" t="str">
        <x:v>Codex</x:v>
      </x:c>
      <x:c r="F9" s="17" t="str">
        <x:v>S003</x:v>
      </x:c>
      <x:c r="G9" s="17" t="str">
        <x:v>Migrations + storage module</x:v>
      </x:c>
      <x:c r="H9" s="17" t="str"/>
    </x:row>
    <x:row r="10">
      <x:c r="A10" s="17" t="str">
        <x:v>S006</x:v>
      </x:c>
      <x:c r="B10" s="17" t="str">
        <x:v>LoRa</x:v>
      </x:c>
      <x:c r="C10" s="17" t="str">
        <x:v>Build main RPi LoRa receiver service</x:v>
      </x:c>
      <x:c r="D10" s="17" t="str">
        <x:v>Not Started</x:v>
      </x:c>
      <x:c r="E10" s="17" t="str">
        <x:v>Codex/User</x:v>
      </x:c>
      <x:c r="F10" s="17" t="str">
        <x:v>S003, LoRa wiring</x:v>
      </x:c>
      <x:c r="G10" s="17" t="str">
        <x:v>lora_gateway.py</x:v>
      </x:c>
      <x:c r="H10" s="17" t="str"/>
    </x:row>
    <x:row r="11">
      <x:c r="A11" s="17" t="str">
        <x:v>S007</x:v>
      </x:c>
      <x:c r="B11" s="17" t="str">
        <x:v>LoRa</x:v>
      </x:c>
      <x:c r="C11" s="17" t="str">
        <x:v>Build node telemetry packet sender/bridge</x:v>
      </x:c>
      <x:c r="D11" s="17" t="str">
        <x:v>Not Started</x:v>
      </x:c>
      <x:c r="E11" s="17" t="str">
        <x:v>Codex/User</x:v>
      </x:c>
      <x:c r="F11" s="17" t="str">
        <x:v>S004/S006</x:v>
      </x:c>
      <x:c r="G11" s="17" t="str">
        <x:v>Packet sender and ACK retry</x:v>
      </x:c>
      <x:c r="H11" s="17" t="str"/>
    </x:row>
    <x:row r="12">
      <x:c r="A12" s="17" t="str">
        <x:v>S008</x:v>
      </x:c>
      <x:c r="B12" s="17" t="str">
        <x:v>Audio</x:v>
      </x:c>
      <x:c r="C12" s="17" t="str">
        <x:v>Keep and improve RPi chainsaw detector</x:v>
      </x:c>
      <x:c r="D12" s="17" t="str">
        <x:v>Not Started</x:v>
      </x:c>
      <x:c r="E12" s="17" t="str">
        <x:v>Codex</x:v>
      </x:c>
      <x:c r="F12" s="17" t="str">
        <x:v>S003</x:v>
      </x:c>
      <x:c r="G12" s="17" t="str">
        <x:v>Calibrated detector config and tests</x:v>
      </x:c>
      <x:c r="H12" s="17" t="str"/>
    </x:row>
    <x:row r="13">
      <x:c r="A13" s="17" t="str">
        <x:v>S009</x:v>
      </x:c>
      <x:c r="B13" s="17" t="str">
        <x:v>Camera</x:v>
      </x:c>
      <x:c r="C13" s="17" t="str">
        <x:v>Normalize all node daytime camera streams</x:v>
      </x:c>
      <x:c r="D13" s="17" t="str">
        <x:v>Not Started</x:v>
      </x:c>
      <x:c r="E13" s="17" t="str">
        <x:v>Codex/User</x:v>
      </x:c>
      <x:c r="F13" s="17" t="str">
        <x:v>S003</x:v>
      </x:c>
      <x:c r="G13" s="17" t="str">
        <x:v>Camera grid stable on main dashboard</x:v>
      </x:c>
      <x:c r="H13" s="17" t="str"/>
    </x:row>
    <x:row r="14">
      <x:c r="A14" s="17" t="str">
        <x:v>S010</x:v>
      </x:c>
      <x:c r="B14" s="17" t="str">
        <x:v>Thermal</x:v>
      </x:c>
      <x:c r="C14" s="17" t="str">
        <x:v>Lock MLX90640 to main server only</x:v>
      </x:c>
      <x:c r="D14" s="17" t="str">
        <x:v>Not Started</x:v>
      </x:c>
      <x:c r="E14" s="17" t="str">
        <x:v>Codex</x:v>
      </x:c>
      <x:c r="F14" s="17" t="str">
        <x:v>S003</x:v>
      </x:c>
      <x:c r="G14" s="17" t="str">
        <x:v>Thermal service and UI scope</x:v>
      </x:c>
      <x:c r="H14" s="17" t="str"/>
    </x:row>
    <x:row r="15">
      <x:c r="A15" s="17" t="str">
        <x:v>S011</x:v>
      </x:c>
      <x:c r="B15" s="17" t="str">
        <x:v>Recording</x:v>
      </x:c>
      <x:c r="C15" s="17" t="str">
        <x:v>Record detecting node camera when chainsaw event occurs</x:v>
      </x:c>
      <x:c r="D15" s="17" t="str">
        <x:v>Not Started</x:v>
      </x:c>
      <x:c r="E15" s="17" t="str">
        <x:v>Codex</x:v>
      </x:c>
      <x:c r="F15" s="17" t="str">
        <x:v>S008/S009</x:v>
      </x:c>
      <x:c r="G15" s="17" t="str">
        <x:v>Event clips in media folder</x:v>
      </x:c>
      <x:c r="H15" s="17" t="str"/>
    </x:row>
    <x:row r="16">
      <x:c r="A16" s="17" t="str">
        <x:v>S012</x:v>
      </x:c>
      <x:c r="B16" s="17" t="str">
        <x:v>Alerts</x:v>
      </x:c>
      <x:c r="C16" s="17" t="str">
        <x:v>Add siren relay service and dashboard controls</x:v>
      </x:c>
      <x:c r="D16" s="17" t="str">
        <x:v>Not Started</x:v>
      </x:c>
      <x:c r="E16" s="17" t="str">
        <x:v>Codex/User</x:v>
      </x:c>
      <x:c r="F16" s="17" t="str">
        <x:v>S005</x:v>
      </x:c>
      <x:c r="G16" s="17" t="str">
        <x:v>GPIO relay integration</x:v>
      </x:c>
      <x:c r="H16" s="17" t="str"/>
    </x:row>
    <x:row r="17">
      <x:c r="A17" s="17" t="str">
        <x:v>S013</x:v>
      </x:c>
      <x:c r="B17" s="17" t="str">
        <x:v>Power</x:v>
      </x:c>
      <x:c r="C17" s="17" t="str">
        <x:v>Add battery voltage telemetry and low-voltage warnings</x:v>
      </x:c>
      <x:c r="D17" s="17" t="str">
        <x:v>Not Started</x:v>
      </x:c>
      <x:c r="E17" s="17" t="str">
        <x:v>Codex/User</x:v>
      </x:c>
      <x:c r="F17" s="17" t="str">
        <x:v>Hardware divider</x:v>
      </x:c>
      <x:c r="G17" s="17" t="str">
        <x:v>battery_v in packets/readings</x:v>
      </x:c>
      <x:c r="H17" s="17" t="str"/>
    </x:row>
    <x:row r="18">
      <x:c r="A18" s="17" t="str">
        <x:v>S014</x:v>
      </x:c>
      <x:c r="B18" s="17" t="str">
        <x:v>Testing</x:v>
      </x:c>
      <x:c r="C18" s="17" t="str">
        <x:v>Create mocked integration tests for APIs, LoRa packets, and detector</x:v>
      </x:c>
      <x:c r="D18" s="17" t="str">
        <x:v>Not Started</x:v>
      </x:c>
      <x:c r="E18" s="17" t="str">
        <x:v>Codex</x:v>
      </x:c>
      <x:c r="F18" s="17" t="str">
        <x:v>S005-S012</x:v>
      </x:c>
      <x:c r="G18" s="17" t="str">
        <x:v>pytest suite</x:v>
      </x:c>
      <x:c r="H18" s="17" t="str"/>
    </x:row>
    <x:row r="19">
      <x:c r="A19" s="17" t="str">
        <x:v>S015</x:v>
      </x:c>
      <x:c r="B19" s="17" t="str">
        <x:v>Field</x:v>
      </x:c>
      <x:c r="C19" s="17" t="str">
        <x:v>Run PDR/RSSI/latency/false alarm tests</x:v>
      </x:c>
      <x:c r="D19" s="17" t="str">
        <x:v>Not Started</x:v>
      </x:c>
      <x:c r="E19" s="17" t="str">
        <x:v>User/Codex</x:v>
      </x:c>
      <x:c r="F19" s="17" t="str">
        <x:v>Hardware deployed</x:v>
      </x:c>
      <x:c r="G19" s="17" t="str">
        <x:v>Test Campaign evidence</x:v>
      </x:c>
      <x:c r="H19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Hardware BOM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Bill of materials based on final clarified topology.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Category</x:v>
      </x:c>
      <x:c r="B4" s="16" t="str">
        <x:v>Part</x:v>
      </x:c>
      <x:c r="C4" s="16" t="str">
        <x:v>Qty</x:v>
      </x:c>
      <x:c r="D4" s="16" t="str">
        <x:v>Unit Location</x:v>
      </x:c>
      <x:c r="E4" s="16" t="str">
        <x:v>Purpose</x:v>
      </x:c>
      <x:c r="F4" s="16" t="str">
        <x:v>Required / Optional</x:v>
      </x:c>
      <x:c r="G4" s="16" t="str">
        <x:v>Notes</x:v>
      </x:c>
      <x:c r="H4" s="16" t="str">
        <x:v>Risk</x:v>
      </x:c>
    </x:row>
    <x:row r="5">
      <x:c r="A5" s="17" t="str">
        <x:v>Compute</x:v>
      </x:c>
      <x:c r="B5" s="17" t="str">
        <x:v>Raspberry Pi 4 preferred / Pi 3B+ minimum</x:v>
      </x:c>
      <x:c r="C5" s="17" t="n">
        <x:v>4</x:v>
      </x:c>
      <x:c r="D5" s="17" t="str">
        <x:v>All nodes</x:v>
      </x:c>
      <x:c r="E5" s="17" t="str">
        <x:v>Camera, audio processing, local service</x:v>
      </x:c>
      <x:c r="F5" s="17" t="str">
        <x:v>Required</x:v>
      </x:c>
      <x:c r="G5" s="17" t="str">
        <x:v>Existing code targets RPi 3B but Pi 4 improves camera/audio reliability</x:v>
      </x:c>
      <x:c r="H5" s="17" t="str">
        <x:v>Availability</x:v>
      </x:c>
    </x:row>
    <x:row r="6">
      <x:c r="A6" s="17" t="str">
        <x:v>Compute</x:v>
      </x:c>
      <x:c r="B6" s="17" t="str">
        <x:v>ESP32 DevKit V1</x:v>
      </x:c>
      <x:c r="C6" s="17" t="n">
        <x:v>4</x:v>
      </x:c>
      <x:c r="D6" s="17" t="str">
        <x:v>All nodes</x:v>
      </x:c>
      <x:c r="E6" s="17" t="str">
        <x:v>Sensor acquisition and LoRa support</x:v>
      </x:c>
      <x:c r="F6" s="17" t="str">
        <x:v>Required</x:v>
      </x:c>
      <x:c r="G6" s="17" t="str">
        <x:v>Existing PlatformIO firmware base exists</x:v>
      </x:c>
      <x:c r="H6" s="17" t="str">
        <x:v>GPIO/power noise</x:v>
      </x:c>
    </x:row>
    <x:row r="7">
      <x:c r="A7" s="17" t="str">
        <x:v>Radio</x:v>
      </x:c>
      <x:c r="B7" s="17" t="str">
        <x:v>SX1278 / Ra-02 433 MHz LoRa module</x:v>
      </x:c>
      <x:c r="C7" s="17" t="n">
        <x:v>4</x:v>
      </x:c>
      <x:c r="D7" s="17" t="str">
        <x:v>Each node</x:v>
      </x:c>
      <x:c r="E7" s="17" t="str">
        <x:v>LoRa telemetry</x:v>
      </x:c>
      <x:c r="F7" s="17" t="str">
        <x:v>Required</x:v>
      </x:c>
      <x:c r="G7" s="17" t="str">
        <x:v>Meeting said no strict module preference</x:v>
      </x:c>
      <x:c r="H7" s="17" t="str">
        <x:v>Antenna tuning</x:v>
      </x:c>
    </x:row>
    <x:row r="8">
      <x:c r="A8" s="17" t="str">
        <x:v>Radio</x:v>
      </x:c>
      <x:c r="B8" s="17" t="str">
        <x:v>LoRa receiver/gateway radio</x:v>
      </x:c>
      <x:c r="C8" s="17" t="n">
        <x:v>1</x:v>
      </x:c>
      <x:c r="D8" s="17" t="str">
        <x:v>Main RPi</x:v>
      </x:c>
      <x:c r="E8" s="17" t="str">
        <x:v>Receive node packets</x:v>
      </x:c>
      <x:c r="F8" s="17" t="str">
        <x:v>Required</x:v>
      </x:c>
      <x:c r="G8" s="17" t="str">
        <x:v>Can be direct SPI to RPi or via gateway ESP32 serial bridge</x:v>
      </x:c>
      <x:c r="H8" s="17" t="str">
        <x:v>Driver complexity</x:v>
      </x:c>
    </x:row>
    <x:row r="9">
      <x:c r="A9" s="17" t="str">
        <x:v>Camera</x:v>
      </x:c>
      <x:c r="B9" s="17" t="str">
        <x:v>Daytime USB/CSI camera</x:v>
      </x:c>
      <x:c r="C9" s="17" t="n">
        <x:v>4</x:v>
      </x:c>
      <x:c r="D9" s="17" t="str">
        <x:v>All nodes</x:v>
      </x:c>
      <x:c r="E9" s="17" t="str">
        <x:v>Live view and event recording</x:v>
      </x:c>
      <x:c r="F9" s="17" t="str">
        <x:v>Required</x:v>
      </x:c>
      <x:c r="G9" s="17" t="str">
        <x:v>Normal/daytime cameras on every node</x:v>
      </x:c>
      <x:c r="H9" s="17" t="str">
        <x:v>Bandwidth</x:v>
      </x:c>
    </x:row>
    <x:row r="10">
      <x:c r="A10" s="17" t="str">
        <x:v>Thermal</x:v>
      </x:c>
      <x:c r="B10" s="17" t="str">
        <x:v>MLX90640</x:v>
      </x:c>
      <x:c r="C10" s="17" t="n">
        <x:v>1</x:v>
      </x:c>
      <x:c r="D10" s="17" t="str">
        <x:v>Main/center node only</x:v>
      </x:c>
      <x:c r="E10" s="17" t="str">
        <x:v>Night/thermal event view</x:v>
      </x:c>
      <x:c r="F10" s="17" t="str">
        <x:v>Required</x:v>
      </x:c>
      <x:c r="G10" s="17" t="str">
        <x:v>Do not deploy on remote nodes</x:v>
      </x:c>
      <x:c r="H10" s="17" t="str">
        <x:v>Cost/FOV</x:v>
      </x:c>
    </x:row>
    <x:row r="11">
      <x:c r="A11" s="17" t="str">
        <x:v>Sensor</x:v>
      </x:c>
      <x:c r="B11" s="17" t="str">
        <x:v>DHT22 or Si7021</x:v>
      </x:c>
      <x:c r="C11" s="17" t="n">
        <x:v>4</x:v>
      </x:c>
      <x:c r="D11" s="17" t="str">
        <x:v>All nodes</x:v>
      </x:c>
      <x:c r="E11" s="17" t="str">
        <x:v>Temperature/humidity</x:v>
      </x:c>
      <x:c r="F11" s="17" t="str">
        <x:v>Required</x:v>
      </x:c>
      <x:c r="G11" s="17" t="str">
        <x:v>Si7021 preferred for stability</x:v>
      </x:c>
      <x:c r="H11" s="17" t="str">
        <x:v>Calibration</x:v>
      </x:c>
    </x:row>
    <x:row r="12">
      <x:c r="A12" s="17" t="str">
        <x:v>Sensor</x:v>
      </x:c>
      <x:c r="B12" s="17" t="str">
        <x:v>MQ2 smoke/gas sensor</x:v>
      </x:c>
      <x:c r="C12" s="17" t="n">
        <x:v>4</x:v>
      </x:c>
      <x:c r="D12" s="17" t="str">
        <x:v>All nodes</x:v>
      </x:c>
      <x:c r="E12" s="17" t="str">
        <x:v>Smoke/fire indicator</x:v>
      </x:c>
      <x:c r="F12" s="17" t="str">
        <x:v>Required</x:v>
      </x:c>
      <x:c r="G12" s="17" t="str">
        <x:v>Add ADC/PPM if possible, not digital-only</x:v>
      </x:c>
      <x:c r="H12" s="17" t="str">
        <x:v>Drift/heater power</x:v>
      </x:c>
    </x:row>
    <x:row r="13">
      <x:c r="A13" s="17" t="str">
        <x:v>Audio</x:v>
      </x:c>
      <x:c r="B13" s="17" t="str">
        <x:v>USB mic or SPH0645 I2S MEMS mic</x:v>
      </x:c>
      <x:c r="C13" s="17" t="n">
        <x:v>4</x:v>
      </x:c>
      <x:c r="D13" s="17" t="str">
        <x:v>All nodes</x:v>
      </x:c>
      <x:c r="E13" s="17" t="str">
        <x:v>Chainsaw detection</x:v>
      </x:c>
      <x:c r="F13" s="17" t="str">
        <x:v>Required</x:v>
      </x:c>
      <x:c r="G13" s="17" t="str">
        <x:v>RPi detector currently uses USB mic; I2S is cleaner later</x:v>
      </x:c>
      <x:c r="H13" s="17" t="str">
        <x:v>False positives</x:v>
      </x:c>
    </x:row>
    <x:row r="14">
      <x:c r="A14" s="17" t="str">
        <x:v>Alert</x:v>
      </x:c>
      <x:c r="B14" s="17" t="str">
        <x:v>12V siren + LED beacon</x:v>
      </x:c>
      <x:c r="C14" s="17" t="n">
        <x:v>1</x:v>
      </x:c>
      <x:c r="D14" s="17" t="str">
        <x:v>Main/receiver or center node</x:v>
      </x:c>
      <x:c r="E14" s="17" t="str">
        <x:v>Local alarm</x:v>
      </x:c>
      <x:c r="F14" s="17" t="str">
        <x:v>Required</x:v>
      </x:c>
      <x:c r="G14" s="17" t="str">
        <x:v>Drive through relay/MOSFET</x:v>
      </x:c>
      <x:c r="H14" s="17" t="str">
        <x:v>Weatherproofing</x:v>
      </x:c>
    </x:row>
    <x:row r="15">
      <x:c r="A15" s="17" t="str">
        <x:v>Power</x:v>
      </x:c>
      <x:c r="B15" s="17" t="str">
        <x:v>12V battery system</x:v>
      </x:c>
      <x:c r="C15" s="17" t="n">
        <x:v>4</x:v>
      </x:c>
      <x:c r="D15" s="17" t="str">
        <x:v>All nodes</x:v>
      </x:c>
      <x:c r="E15" s="17" t="str">
        <x:v>Field power</x:v>
      </x:c>
      <x:c r="F15" s="17" t="str">
        <x:v>Required</x:v>
      </x:c>
      <x:c r="G15" s="17" t="str">
        <x:v>User specified 12V 40A batteries</x:v>
      </x:c>
      <x:c r="H15" s="17" t="str">
        <x:v>Runtime/charging</x:v>
      </x:c>
    </x:row>
    <x:row r="16">
      <x:c r="A16" s="17" t="str">
        <x:v>Power</x:v>
      </x:c>
      <x:c r="B16" s="17" t="str">
        <x:v>5V buck converter 5A+</x:v>
      </x:c>
      <x:c r="C16" s="17" t="n">
        <x:v>4</x:v>
      </x:c>
      <x:c r="D16" s="17" t="str">
        <x:v>All nodes</x:v>
      </x:c>
      <x:c r="E16" s="17" t="str">
        <x:v>RPi supply</x:v>
      </x:c>
      <x:c r="F16" s="17" t="str">
        <x:v>Required</x:v>
      </x:c>
      <x:c r="G16" s="17" t="str">
        <x:v>Use fused input and stable converter</x:v>
      </x:c>
      <x:c r="H16" s="17" t="str">
        <x:v>Brownouts</x:v>
      </x:c>
    </x:row>
    <x:row r="17">
      <x:c r="A17" s="17" t="str">
        <x:v>Enclosure</x:v>
      </x:c>
      <x:c r="B17" s="17" t="str">
        <x:v>Weatherproof box, glands, pole mount</x:v>
      </x:c>
      <x:c r="C17" s="17" t="n">
        <x:v>4</x:v>
      </x:c>
      <x:c r="D17" s="17" t="str">
        <x:v>All nodes</x:v>
      </x:c>
      <x:c r="E17" s="17" t="str">
        <x:v>Field deployment</x:v>
      </x:c>
      <x:c r="F17" s="17" t="str">
        <x:v>Required</x:v>
      </x:c>
      <x:c r="G17" s="17" t="str">
        <x:v>Mount center node high enough for camera coverage</x:v>
      </x:c>
      <x:c r="H17" s="17" t="str">
        <x:v>Water ingress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Config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Runtime configuration values to keep code, workbook, and field setup aligned.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Config Key</x:v>
      </x:c>
      <x:c r="B4" s="16" t="str">
        <x:v>Recommended Value</x:v>
      </x:c>
      <x:c r="C4" s="16" t="str">
        <x:v>Applies To</x:v>
      </x:c>
      <x:c r="D4" s="16" t="str">
        <x:v>Source</x:v>
      </x:c>
      <x:c r="E4" s="16" t="str">
        <x:v>Status</x:v>
      </x:c>
      <x:c r="F4" s="16" t="str">
        <x:v>Notes</x:v>
      </x:c>
    </x:row>
    <x:row r="5">
      <x:c r="A5" s="17" t="str">
        <x:v>role</x:v>
      </x:c>
      <x:c r="B5" s="17" t="str">
        <x:v>server for main, node for remotes</x:v>
      </x:c>
      <x:c r="C5" s="17" t="str">
        <x:v>RPi app</x:v>
      </x:c>
      <x:c r="D5" s="17" t="str">
        <x:v>Existing config.json</x:v>
      </x:c>
      <x:c r="E5" s="17" t="str">
        <x:v>Approved</x:v>
      </x:c>
      <x:c r="F5" s="17" t="str">
        <x:v>Main default in v4 ZIP is server.</x:v>
      </x:c>
    </x:row>
    <x:row r="6">
      <x:c r="A6" s="17" t="str">
        <x:v>port</x:v>
      </x:c>
      <x:c r="B6" s="17" t="str">
        <x:v>8090</x:v>
      </x:c>
      <x:c r="C6" s="17" t="str">
        <x:v>RPi app</x:v>
      </x:c>
      <x:c r="D6" s="17" t="str">
        <x:v>Existing ZIP</x:v>
      </x:c>
      <x:c r="E6" s="17" t="str">
        <x:v>Approved</x:v>
      </x:c>
      <x:c r="F6" s="17" t="str">
        <x:v>Dashboard and node APIs.</x:v>
      </x:c>
    </x:row>
    <x:row r="7">
      <x:c r="A7" s="17" t="str">
        <x:v>server_refresh_sec</x:v>
      </x:c>
      <x:c r="B7" s="17" t="str">
        <x:v>3-5</x:v>
      </x:c>
      <x:c r="C7" s="17" t="str">
        <x:v>Main dashboard</x:v>
      </x:c>
      <x:c r="D7" s="17" t="str">
        <x:v>Existing ZIP</x:v>
      </x:c>
      <x:c r="E7" s="17" t="str">
        <x:v>Approved</x:v>
      </x:c>
      <x:c r="F7" s="17" t="str">
        <x:v>UI can refresh faster than 1-minute telemetry.</x:v>
      </x:c>
    </x:row>
    <x:row r="8">
      <x:c r="A8" s="17" t="str">
        <x:v>telemetry_interval_sec</x:v>
      </x:c>
      <x:c r="B8" s="17" t="str">
        <x:v>60</x:v>
      </x:c>
      <x:c r="C8" s="17" t="str">
        <x:v>LoRa telemetry</x:v>
      </x:c>
      <x:c r="D8" s="17" t="str">
        <x:v>PNG/PDF</x:v>
      </x:c>
      <x:c r="E8" s="17" t="str">
        <x:v>Approved</x:v>
      </x:c>
      <x:c r="F8" s="17" t="str">
        <x:v>Dashboard requirement says every 1 minute.</x:v>
      </x:c>
    </x:row>
    <x:row r="9">
      <x:c r="A9" s="17" t="str">
        <x:v>alert_retry_sec</x:v>
      </x:c>
      <x:c r="B9" s="17" t="str">
        <x:v>10</x:v>
      </x:c>
      <x:c r="C9" s="17" t="str">
        <x:v>LoRa alerts</x:v>
      </x:c>
      <x:c r="D9" s="17" t="str">
        <x:v>Recommended</x:v>
      </x:c>
      <x:c r="E9" s="17" t="str">
        <x:v>Proposed</x:v>
      </x:c>
      <x:c r="F9" s="17" t="str">
        <x:v>Retry unacknowledged alert packets.</x:v>
      </x:c>
    </x:row>
    <x:row r="10">
      <x:c r="A10" s="17" t="str">
        <x:v>camera_fps</x:v>
      </x:c>
      <x:c r="B10" s="17" t="str">
        <x:v>8-10</x:v>
      </x:c>
      <x:c r="C10" s="17" t="str">
        <x:v>All RPi cameras</x:v>
      </x:c>
      <x:c r="D10" s="17" t="str">
        <x:v>Existing ZIP</x:v>
      </x:c>
      <x:c r="E10" s="17" t="str">
        <x:v>Approved</x:v>
      </x:c>
      <x:c r="F10" s="17" t="str">
        <x:v>Lower if Wi-Fi bandwidth is weak.</x:v>
      </x:c>
    </x:row>
    <x:row r="11">
      <x:c r="A11" s="17" t="str">
        <x:v>thermal_refresh_rate_hz</x:v>
      </x:c>
      <x:c r="B11" s="17" t="str">
        <x:v>2</x:v>
      </x:c>
      <x:c r="C11" s="17" t="str">
        <x:v>Main thermal</x:v>
      </x:c>
      <x:c r="D11" s="17" t="str">
        <x:v>Existing ZIP</x:v>
      </x:c>
      <x:c r="E11" s="17" t="str">
        <x:v>Approved</x:v>
      </x:c>
      <x:c r="F11" s="17" t="str">
        <x:v>MLX90640 over I2C.</x:v>
      </x:c>
    </x:row>
    <x:row r="12">
      <x:c r="A12" s="17" t="str">
        <x:v>sample_rate</x:v>
      </x:c>
      <x:c r="B12" s="17" t="str">
        <x:v>16000</x:v>
      </x:c>
      <x:c r="C12" s="17" t="str">
        <x:v>Chainsaw detector</x:v>
      </x:c>
      <x:c r="D12" s="17" t="str">
        <x:v>Existing ZIP</x:v>
      </x:c>
      <x:c r="E12" s="17" t="str">
        <x:v>Approved</x:v>
      </x:c>
      <x:c r="F12" s="17" t="str">
        <x:v>Current detector.py default.</x:v>
      </x:c>
    </x:row>
    <x:row r="13">
      <x:c r="A13" s="17" t="str">
        <x:v>score_threshold</x:v>
      </x:c>
      <x:c r="B13" s="17" t="str">
        <x:v>60</x:v>
      </x:c>
      <x:c r="C13" s="17" t="str">
        <x:v>Chainsaw detector</x:v>
      </x:c>
      <x:c r="D13" s="17" t="str">
        <x:v>Existing ZIP</x:v>
      </x:c>
      <x:c r="E13" s="17" t="str">
        <x:v>Tune</x:v>
      </x:c>
      <x:c r="F13" s="17" t="str">
        <x:v>Calibrate using field audio.</x:v>
      </x:c>
    </x:row>
    <x:row r="14">
      <x:c r="A14" s="17" t="str">
        <x:v>require_hits</x:v>
      </x:c>
      <x:c r="B14" s="17" t="str">
        <x:v>3</x:v>
      </x:c>
      <x:c r="C14" s="17" t="str">
        <x:v>Chainsaw detector</x:v>
      </x:c>
      <x:c r="D14" s="17" t="str">
        <x:v>Existing ZIP</x:v>
      </x:c>
      <x:c r="E14" s="17" t="str">
        <x:v>Tune</x:v>
      </x:c>
      <x:c r="F14" s="17" t="str">
        <x:v>Multi-window confirmation.</x:v>
      </x:c>
    </x:row>
    <x:row r="15">
      <x:c r="A15" s="17" t="str">
        <x:v>battery_low_v</x:v>
      </x:c>
      <x:c r="B15" s="17" t="str">
        <x:v>11.4</x:v>
      </x:c>
      <x:c r="C15" s="17" t="str">
        <x:v>All nodes</x:v>
      </x:c>
      <x:c r="D15" s="17" t="str">
        <x:v>Recommended</x:v>
      </x:c>
      <x:c r="E15" s="17" t="str">
        <x:v>Proposed</x:v>
      </x:c>
      <x:c r="F15" s="17" t="str">
        <x:v>Adjust to battery chemistry.</x:v>
      </x:c>
    </x:row>
    <x:row r="16">
      <x:c r="A16" s="17" t="str">
        <x:v>wifi_country</x:v>
      </x:c>
      <x:c r="B16" s="17" t="str">
        <x:v>PH</x:v>
      </x:c>
      <x:c r="C16" s="17" t="str">
        <x:v>All RPis/ESP32</x:v>
      </x:c>
      <x:c r="D16" s="17" t="str">
        <x:v>Existing config</x:v>
      </x:c>
      <x:c r="E16" s="17" t="str">
        <x:v>Approved</x:v>
      </x:c>
      <x:c r="F16" s="17" t="str">
        <x:v>Deployment in Philippines.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Packet Protocol</x:v>
      </x:c>
      <x:c r="B1" s="4"/>
      <x:c r="C1" s="4"/>
      <x:c r="D1" s="4"/>
      <x:c r="E1" s="4"/>
      <x:c r="F1" s="4"/>
      <x:c r="G1" s="4"/>
      <x:c r="H1" s="4"/>
    </x:row>
    <x:row r="2">
      <x:c r="A2" s="6" t="str">
        <x:v>LoRa telemetry and alert payloads.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Field</x:v>
      </x:c>
      <x:c r="B4" s="16" t="str">
        <x:v>Type</x:v>
      </x:c>
      <x:c r="C4" s="16" t="str">
        <x:v>Required</x:v>
      </x:c>
      <x:c r="D4" s="16" t="str">
        <x:v>Example</x:v>
      </x:c>
      <x:c r="E4" s="16" t="str">
        <x:v>Producer</x:v>
      </x:c>
      <x:c r="F4" s="16" t="str">
        <x:v>Consumer</x:v>
      </x:c>
      <x:c r="G4" s="16" t="str">
        <x:v>Notes</x:v>
      </x:c>
    </x:row>
    <x:row r="5">
      <x:c r="A5" s="17" t="str">
        <x:v>v</x:v>
      </x:c>
      <x:c r="B5" s="17" t="str">
        <x:v>int</x:v>
      </x:c>
      <x:c r="C5" s="17" t="str">
        <x:v>Yes</x:v>
      </x:c>
      <x:c r="D5" s="17" t="str">
        <x:v>1</x:v>
      </x:c>
      <x:c r="E5" s="17" t="str">
        <x:v>Node</x:v>
      </x:c>
      <x:c r="F5" s="17" t="str">
        <x:v>Main</x:v>
      </x:c>
      <x:c r="G5" s="17" t="str">
        <x:v>Protocol version.</x:v>
      </x:c>
    </x:row>
    <x:row r="6">
      <x:c r="A6" s="17" t="str">
        <x:v>node_id</x:v>
      </x:c>
      <x:c r="B6" s="17" t="str">
        <x:v>string</x:v>
      </x:c>
      <x:c r="C6" s="17" t="str">
        <x:v>Yes</x:v>
      </x:c>
      <x:c r="D6" s="17" t="str">
        <x:v>node-02</x:v>
      </x:c>
      <x:c r="E6" s="17" t="str">
        <x:v>Node</x:v>
      </x:c>
      <x:c r="F6" s="17" t="str">
        <x:v>Main</x:v>
      </x:c>
      <x:c r="G6" s="17" t="str">
        <x:v>Stable ID, not only IP.</x:v>
      </x:c>
    </x:row>
    <x:row r="7">
      <x:c r="A7" s="17" t="str">
        <x:v>seq</x:v>
      </x:c>
      <x:c r="B7" s="17" t="str">
        <x:v>int</x:v>
      </x:c>
      <x:c r="C7" s="17" t="str">
        <x:v>Yes</x:v>
      </x:c>
      <x:c r="D7" s="17" t="str">
        <x:v>1842</x:v>
      </x:c>
      <x:c r="E7" s="17" t="str">
        <x:v>Node</x:v>
      </x:c>
      <x:c r="F7" s="17" t="str">
        <x:v>Main</x:v>
      </x:c>
      <x:c r="G7" s="17" t="str">
        <x:v>Used for packet loss/PDR.</x:v>
      </x:c>
    </x:row>
    <x:row r="8">
      <x:c r="A8" s="17" t="str">
        <x:v>ts</x:v>
      </x:c>
      <x:c r="B8" s="17" t="str">
        <x:v>unix/int</x:v>
      </x:c>
      <x:c r="C8" s="17" t="str">
        <x:v>Preferred</x:v>
      </x:c>
      <x:c r="D8" s="17" t="str">
        <x:v>1778640000</x:v>
      </x:c>
      <x:c r="E8" s="17" t="str">
        <x:v>Node</x:v>
      </x:c>
      <x:c r="F8" s="17" t="str">
        <x:v>Main</x:v>
      </x:c>
      <x:c r="G8" s="17" t="str">
        <x:v>Gateway can timestamp if node clock unavailable.</x:v>
      </x:c>
    </x:row>
    <x:row r="9">
      <x:c r="A9" s="17" t="str">
        <x:v>temp_c</x:v>
      </x:c>
      <x:c r="B9" s="17" t="str">
        <x:v>float</x:v>
      </x:c>
      <x:c r="C9" s="17" t="str">
        <x:v>Yes</x:v>
      </x:c>
      <x:c r="D9" s="17" t="str">
        <x:v>34.2</x:v>
      </x:c>
      <x:c r="E9" s="17" t="str">
        <x:v>ESP32/RPi</x:v>
      </x:c>
      <x:c r="F9" s="17" t="str">
        <x:v>Main</x:v>
      </x:c>
      <x:c r="G9" s="17" t="str">
        <x:v>DHT22/Si7021.</x:v>
      </x:c>
    </x:row>
    <x:row r="10">
      <x:c r="A10" s="17" t="str">
        <x:v>humidity</x:v>
      </x:c>
      <x:c r="B10" s="17" t="str">
        <x:v>float</x:v>
      </x:c>
      <x:c r="C10" s="17" t="str">
        <x:v>Yes</x:v>
      </x:c>
      <x:c r="D10" s="17" t="str">
        <x:v>58.1</x:v>
      </x:c>
      <x:c r="E10" s="17" t="str">
        <x:v>ESP32/RPi</x:v>
      </x:c>
      <x:c r="F10" s="17" t="str">
        <x:v>Main</x:v>
      </x:c>
      <x:c r="G10" s="17" t="str">
        <x:v>Relative humidity %.</x:v>
      </x:c>
    </x:row>
    <x:row r="11">
      <x:c r="A11" s="17" t="str">
        <x:v>smoke_ppm</x:v>
      </x:c>
      <x:c r="B11" s="17" t="str">
        <x:v>float</x:v>
      </x:c>
      <x:c r="C11" s="17" t="str">
        <x:v>Preferred</x:v>
      </x:c>
      <x:c r="D11" s="17" t="str">
        <x:v>420</x:v>
      </x:c>
      <x:c r="E11" s="17" t="str">
        <x:v>ESP32</x:v>
      </x:c>
      <x:c r="F11" s="17" t="str">
        <x:v>Main</x:v>
      </x:c>
      <x:c r="G11" s="17" t="str">
        <x:v>Use analog MQ2 when possible.</x:v>
      </x:c>
    </x:row>
    <x:row r="12">
      <x:c r="A12" s="17" t="str">
        <x:v>smoke_detected</x:v>
      </x:c>
      <x:c r="B12" s="17" t="str">
        <x:v>bool</x:v>
      </x:c>
      <x:c r="C12" s="17" t="str">
        <x:v>Yes</x:v>
      </x:c>
      <x:c r="D12" s="17" t="str">
        <x:v>false</x:v>
      </x:c>
      <x:c r="E12" s="17" t="str">
        <x:v>ESP32</x:v>
      </x:c>
      <x:c r="F12" s="17" t="str">
        <x:v>Main</x:v>
      </x:c>
      <x:c r="G12" s="17" t="str">
        <x:v>Digital fallback.</x:v>
      </x:c>
    </x:row>
    <x:row r="13">
      <x:c r="A13" s="17" t="str">
        <x:v>chainsaw_score</x:v>
      </x:c>
      <x:c r="B13" s="17" t="str">
        <x:v>float</x:v>
      </x:c>
      <x:c r="C13" s="17" t="str">
        <x:v>Yes</x:v>
      </x:c>
      <x:c r="D13" s="17" t="str">
        <x:v>72</x:v>
      </x:c>
      <x:c r="E13" s="17" t="str">
        <x:v>RPi</x:v>
      </x:c>
      <x:c r="F13" s="17" t="str">
        <x:v>Main</x:v>
      </x:c>
      <x:c r="G13" s="17" t="str">
        <x:v>From detector.py.</x:v>
      </x:c>
    </x:row>
    <x:row r="14">
      <x:c r="A14" s="17" t="str">
        <x:v>chainsaw_detected</x:v>
      </x:c>
      <x:c r="B14" s="17" t="str">
        <x:v>bool</x:v>
      </x:c>
      <x:c r="C14" s="17" t="str">
        <x:v>Yes</x:v>
      </x:c>
      <x:c r="D14" s="17" t="str">
        <x:v>true</x:v>
      </x:c>
      <x:c r="E14" s="17" t="str">
        <x:v>RPi</x:v>
      </x:c>
      <x:c r="F14" s="17" t="str">
        <x:v>Main</x:v>
      </x:c>
      <x:c r="G14" s="17" t="str">
        <x:v>Triggers recording.</x:v>
      </x:c>
    </x:row>
    <x:row r="15">
      <x:c r="A15" s="17" t="str">
        <x:v>battery_v</x:v>
      </x:c>
      <x:c r="B15" s="17" t="str">
        <x:v>float</x:v>
      </x:c>
      <x:c r="C15" s="17" t="str">
        <x:v>Yes</x:v>
      </x:c>
      <x:c r="D15" s="17" t="str">
        <x:v>12.4</x:v>
      </x:c>
      <x:c r="E15" s="17" t="str">
        <x:v>ESP32/RPi</x:v>
      </x:c>
      <x:c r="F15" s="17" t="str">
        <x:v>Main</x:v>
      </x:c>
      <x:c r="G15" s="17" t="str">
        <x:v>Voltage divider.</x:v>
      </x:c>
    </x:row>
    <x:row r="16">
      <x:c r="A16" s="17" t="str">
        <x:v>events</x:v>
      </x:c>
      <x:c r="B16" s="17" t="str">
        <x:v>array</x:v>
      </x:c>
      <x:c r="C16" s="17" t="str">
        <x:v>Yes</x:v>
      </x:c>
      <x:c r="D16" s="17" t="str">
        <x:v>["CHAINSAW"]</x:v>
      </x:c>
      <x:c r="E16" s="17" t="str">
        <x:v>Node</x:v>
      </x:c>
      <x:c r="F16" s="17" t="str">
        <x:v>Main</x:v>
      </x:c>
      <x:c r="G16" s="17" t="str">
        <x:v>Compact event list.</x:v>
      </x:c>
    </x:row>
    <x:row r="17">
      <x:c r="A17" s="17" t="str">
        <x:v>rssi</x:v>
      </x:c>
      <x:c r="B17" s="17" t="str">
        <x:v>float</x:v>
      </x:c>
      <x:c r="C17" s="17" t="str">
        <x:v>Gateway</x:v>
      </x:c>
      <x:c r="D17" s="17" t="str">
        <x:v>-91</x:v>
      </x:c>
      <x:c r="E17" s="17" t="str">
        <x:v>LoRa receiver</x:v>
      </x:c>
      <x:c r="F17" s="17" t="str">
        <x:v>DB/dashboard</x:v>
      </x:c>
      <x:c r="G17" s="17" t="str">
        <x:v>Measured at gateway.</x:v>
      </x:c>
    </x:row>
    <x:row r="18">
      <x:c r="A18" s="17" t="str">
        <x:v>snr</x:v>
      </x:c>
      <x:c r="B18" s="17" t="str">
        <x:v>float</x:v>
      </x:c>
      <x:c r="C18" s="17" t="str">
        <x:v>Gateway</x:v>
      </x:c>
      <x:c r="D18" s="17" t="str">
        <x:v>7.5</x:v>
      </x:c>
      <x:c r="E18" s="17" t="str">
        <x:v>LoRa receiver</x:v>
      </x:c>
      <x:c r="F18" s="17" t="str">
        <x:v>DB/dashboard</x:v>
      </x:c>
      <x:c r="G18" s="17" t="str">
        <x:v>Measured at gateway.</x:v>
      </x:c>
    </x:row>
    <x:row r="22">
      <x:c r="A22" s="10" t="str">
        <x:v>Example JSON</x:v>
      </x:c>
      <x:c r="B22" s="10"/>
      <x:c r="C22" s="10"/>
      <x:c r="D22" s="10"/>
      <x:c r="E22" s="10"/>
      <x:c r="F22" s="10"/>
      <x:c r="G22" s="10"/>
      <x:c r="H22" s="10"/>
    </x:row>
    <x:row r="23">
      <x:c r="A23" t="str">
        <x:v>{"v":1,"node_id":"node-02","seq":1842,"temp_c":34.2,"humidity":58.1,"smoke_ppm":420,"chainsaw_score":72,"chainsaw_detected":true,"battery_v":12.4,"events":["CHAINSAW"]}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Backend APIs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Flask-compatible API plan extending the current RPi ZIP.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Endpoint</x:v>
      </x:c>
      <x:c r="B4" s="16" t="str">
        <x:v>Method</x:v>
      </x:c>
      <x:c r="C4" s="16" t="str">
        <x:v>Owner Service</x:v>
      </x:c>
      <x:c r="D4" s="16" t="str">
        <x:v>Purpose</x:v>
      </x:c>
      <x:c r="E4" s="16" t="str">
        <x:v>Payload / Response</x:v>
      </x:c>
      <x:c r="F4" s="16" t="str">
        <x:v>Status</x:v>
      </x:c>
      <x:c r="G4" s="16" t="str">
        <x:v>Notes</x:v>
      </x:c>
    </x:row>
    <x:row r="5">
      <x:c r="A5" s="17" t="str">
        <x:v>/</x:v>
      </x:c>
      <x:c r="B5" s="17" t="str">
        <x:v>GET</x:v>
      </x:c>
      <x:c r="C5" s="17" t="str">
        <x:v>dashboard</x:v>
      </x:c>
      <x:c r="D5" s="17" t="str">
        <x:v>Web dashboard</x:v>
      </x:c>
      <x:c r="E5" s="17" t="str">
        <x:v>HTML</x:v>
      </x:c>
      <x:c r="F5" s="17" t="str">
        <x:v>Existing</x:v>
      </x:c>
      <x:c r="G5" s="17" t="str">
        <x:v>Keep current dashboard route.</x:v>
      </x:c>
    </x:row>
    <x:row r="6">
      <x:c r="A6" s="17" t="str">
        <x:v>/api/status</x:v>
      </x:c>
      <x:c r="B6" s="17" t="str">
        <x:v>GET</x:v>
      </x:c>
      <x:c r="C6" s="17" t="str">
        <x:v>dashboard_api</x:v>
      </x:c>
      <x:c r="D6" s="17" t="str">
        <x:v>Server, thermal, LoRa, DB, battery health</x:v>
      </x:c>
      <x:c r="E6" s="17" t="str">
        <x:v>JSON</x:v>
      </x:c>
      <x:c r="F6" s="17" t="str">
        <x:v>Existing/Extend</x:v>
      </x:c>
      <x:c r="G6" s="17" t="str">
        <x:v>Add LoRa and DB status.</x:v>
      </x:c>
    </x:row>
    <x:row r="7">
      <x:c r="A7" s="17" t="str">
        <x:v>/api/node-data</x:v>
      </x:c>
      <x:c r="B7" s="17" t="str">
        <x:v>GET</x:v>
      </x:c>
      <x:c r="C7" s="17" t="str">
        <x:v>node_api</x:v>
      </x:c>
      <x:c r="D7" s="17" t="str">
        <x:v>Local node snapshot</x:v>
      </x:c>
      <x:c r="E7" s="17" t="str">
        <x:v>JSON</x:v>
      </x:c>
      <x:c r="F7" s="17" t="str">
        <x:v>Existing/Extend</x:v>
      </x:c>
      <x:c r="G7" s="17" t="str">
        <x:v>Keep backward compatibility.</x:v>
      </x:c>
    </x:row>
    <x:row r="8">
      <x:c r="A8" s="17" t="str">
        <x:v>/api/server-dashboard</x:v>
      </x:c>
      <x:c r="B8" s="17" t="str">
        <x:v>GET</x:v>
      </x:c>
      <x:c r="C8" s="17" t="str">
        <x:v>dashboard_api</x:v>
      </x:c>
      <x:c r="D8" s="17" t="str">
        <x:v>Aggregate all node status</x:v>
      </x:c>
      <x:c r="E8" s="17" t="str">
        <x:v>JSON</x:v>
      </x:c>
      <x:c r="F8" s="17" t="str">
        <x:v>Existing/Extend</x:v>
      </x:c>
      <x:c r="G8" s="17" t="str">
        <x:v>Use DB + live health.</x:v>
      </x:c>
    </x:row>
    <x:row r="9">
      <x:c r="A9" s="17" t="str">
        <x:v>/api/nodes</x:v>
      </x:c>
      <x:c r="B9" s="17" t="str">
        <x:v>GET</x:v>
      </x:c>
      <x:c r="C9" s="17" t="str">
        <x:v>node_registry</x:v>
      </x:c>
      <x:c r="D9" s="17" t="str">
        <x:v>List configured nodes</x:v>
      </x:c>
      <x:c r="E9" s="17" t="str">
        <x:v>JSON</x:v>
      </x:c>
      <x:c r="F9" s="17" t="str">
        <x:v>New</x:v>
      </x:c>
      <x:c r="G9" s="17" t="str">
        <x:v>Stable node IDs.</x:v>
      </x:c>
    </x:row>
    <x:row r="10">
      <x:c r="A10" s="17" t="str">
        <x:v>/api/readings</x:v>
      </x:c>
      <x:c r="B10" s="17" t="str">
        <x:v>GET</x:v>
      </x:c>
      <x:c r="C10" s="17" t="str">
        <x:v>sensor_store</x:v>
      </x:c>
      <x:c r="D10" s="17" t="str">
        <x:v>Historical readings</x:v>
      </x:c>
      <x:c r="E10" s="17" t="str">
        <x:v>JSON</x:v>
      </x:c>
      <x:c r="F10" s="17" t="str">
        <x:v>New</x:v>
      </x:c>
      <x:c r="G10" s="17" t="str">
        <x:v>Filter by node/time.</x:v>
      </x:c>
    </x:row>
    <x:row r="11">
      <x:c r="A11" s="17" t="str">
        <x:v>/api/events</x:v>
      </x:c>
      <x:c r="B11" s="17" t="str">
        <x:v>GET</x:v>
      </x:c>
      <x:c r="C11" s="17" t="str">
        <x:v>event_store</x:v>
      </x:c>
      <x:c r="D11" s="17" t="str">
        <x:v>Alert/event list</x:v>
      </x:c>
      <x:c r="E11" s="17" t="str">
        <x:v>JSON</x:v>
      </x:c>
      <x:c r="F11" s="17" t="str">
        <x:v>New</x:v>
      </x:c>
      <x:c r="G11" s="17" t="str">
        <x:v>Media path included.</x:v>
      </x:c>
    </x:row>
    <x:row r="12">
      <x:c r="A12" s="17" t="str">
        <x:v>/api/events/{id}/ack</x:v>
      </x:c>
      <x:c r="B12" s="17" t="str">
        <x:v>POST</x:v>
      </x:c>
      <x:c r="C12" s="17" t="str">
        <x:v>event_store</x:v>
      </x:c>
      <x:c r="D12" s="17" t="str">
        <x:v>Acknowledge event</x:v>
      </x:c>
      <x:c r="E12" s="17" t="str">
        <x:v>JSON</x:v>
      </x:c>
      <x:c r="F12" s="17" t="str">
        <x:v>New</x:v>
      </x:c>
      <x:c r="G12" s="17" t="str">
        <x:v>Audit user/time.</x:v>
      </x:c>
    </x:row>
    <x:row r="13">
      <x:c r="A13" s="17" t="str">
        <x:v>/api/stream</x:v>
      </x:c>
      <x:c r="B13" s="17" t="str">
        <x:v>GET</x:v>
      </x:c>
      <x:c r="C13" s="17" t="str">
        <x:v>dashboard_api</x:v>
      </x:c>
      <x:c r="D13" s="17" t="str">
        <x:v>SSE live updates</x:v>
      </x:c>
      <x:c r="E13" s="17" t="str">
        <x:v>text/event-stream</x:v>
      </x:c>
      <x:c r="F13" s="17" t="str">
        <x:v>New</x:v>
      </x:c>
      <x:c r="G13" s="17" t="str">
        <x:v>Better than page polling.</x:v>
      </x:c>
    </x:row>
    <x:row r="14">
      <x:c r="A14" s="17" t="str">
        <x:v>/video_feed/&lt;node_id&gt;</x:v>
      </x:c>
      <x:c r="B14" s="17" t="str">
        <x:v>GET</x:v>
      </x:c>
      <x:c r="C14" s="17" t="str">
        <x:v>camera_proxy</x:v>
      </x:c>
      <x:c r="D14" s="17" t="str">
        <x:v>View camera stream</x:v>
      </x:c>
      <x:c r="E14" s="17" t="str">
        <x:v>MJPEG</x:v>
      </x:c>
      <x:c r="F14" s="17" t="str">
        <x:v>Extend</x:v>
      </x:c>
      <x:c r="G14" s="17" t="str">
        <x:v>Proxy local/remote feeds.</x:v>
      </x:c>
    </x:row>
    <x:row r="15">
      <x:c r="A15" s="17" t="str">
        <x:v>/thermal_feed</x:v>
      </x:c>
      <x:c r="B15" s="17" t="str">
        <x:v>GET</x:v>
      </x:c>
      <x:c r="C15" s="17" t="str">
        <x:v>thermal_service</x:v>
      </x:c>
      <x:c r="D15" s="17" t="str">
        <x:v>Main MLX90640 stream</x:v>
      </x:c>
      <x:c r="E15" s="17" t="str">
        <x:v>MJPEG/PNG</x:v>
      </x:c>
      <x:c r="F15" s="17" t="str">
        <x:v>Existing</x:v>
      </x:c>
      <x:c r="G15" s="17" t="str">
        <x:v>Main server only.</x:v>
      </x:c>
    </x:row>
    <x:row r="16">
      <x:c r="A16" s="17" t="str">
        <x:v>/api/siren</x:v>
      </x:c>
      <x:c r="B16" s="17" t="str">
        <x:v>POST</x:v>
      </x:c>
      <x:c r="C16" s="17" t="str">
        <x:v>siren_service</x:v>
      </x:c>
      <x:c r="D16" s="17" t="str">
        <x:v>Trigger/test/disable alarm</x:v>
      </x:c>
      <x:c r="E16" s="17" t="str">
        <x:v>JSON</x:v>
      </x:c>
      <x:c r="F16" s="17" t="str">
        <x:v>New</x:v>
      </x:c>
      <x:c r="G16" s="17" t="str">
        <x:v>Protect with auth.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Database Schema</x:v>
      </x:c>
      <x:c r="B1" s="4"/>
      <x:c r="C1" s="4"/>
      <x:c r="D1" s="4"/>
      <x:c r="E1" s="4"/>
      <x:c r="F1" s="4"/>
      <x:c r="G1" s="4"/>
      <x:c r="H1" s="4"/>
    </x:row>
    <x:row r="2">
      <x:c r="A2" s="6" t="str">
        <x:v>SQLite-first schema for readings, events, media, nodes, and checks.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Table</x:v>
      </x:c>
      <x:c r="B4" s="16" t="str">
        <x:v>Key Fields</x:v>
      </x:c>
      <x:c r="C4" s="16" t="str">
        <x:v>Purpose</x:v>
      </x:c>
      <x:c r="D4" s="16" t="str">
        <x:v>Indexes</x:v>
      </x:c>
      <x:c r="E4" s="16" t="str">
        <x:v>Retention</x:v>
      </x:c>
      <x:c r="F4" s="16" t="str">
        <x:v>Status</x:v>
      </x:c>
      <x:c r="G4" s="16" t="str">
        <x:v>Notes</x:v>
      </x:c>
    </x:row>
    <x:row r="5">
      <x:c r="A5" s="17" t="str">
        <x:v>nodes</x:v>
      </x:c>
      <x:c r="B5" s="17" t="str">
        <x:v>id, name, role, ip, has_camera, has_thermal, last_seen</x:v>
      </x:c>
      <x:c r="C5" s="17" t="str">
        <x:v>Inventory and online state</x:v>
      </x:c>
      <x:c r="D5" s="17" t="str">
        <x:v>PRIMARY KEY(id)</x:v>
      </x:c>
      <x:c r="E5" s="17" t="str">
        <x:v>Permanent</x:v>
      </x:c>
      <x:c r="F5" s="17" t="str">
        <x:v>New</x:v>
      </x:c>
      <x:c r="G5" s="17" t="str">
        <x:v>Main node has has_thermal=1.</x:v>
      </x:c>
    </x:row>
    <x:row r="6">
      <x:c r="A6" s="17" t="str">
        <x:v>readings</x:v>
      </x:c>
      <x:c r="B6" s="17" t="str">
        <x:v>id, node_id, ts, temp_c, humidity, smoke_ppm, chainsaw_score, battery_v, rssi, snr</x:v>
      </x:c>
      <x:c r="C6" s="17" t="str">
        <x:v>1-minute telemetry and health</x:v>
      </x:c>
      <x:c r="D6" s="17" t="str">
        <x:v>node_id, ts</x:v>
      </x:c>
      <x:c r="E6" s="17" t="str">
        <x:v>30-90 days</x:v>
      </x:c>
      <x:c r="F6" s="17" t="str">
        <x:v>New</x:v>
      </x:c>
      <x:c r="G6" s="17" t="str">
        <x:v>Use for charts and validation.</x:v>
      </x:c>
    </x:row>
    <x:row r="7">
      <x:c r="A7" s="17" t="str">
        <x:v>events</x:v>
      </x:c>
      <x:c r="B7" s="17" t="str">
        <x:v>id, node_id, ts, type, severity, message, evidence_json, media_path, acked</x:v>
      </x:c>
      <x:c r="C7" s="17" t="str">
        <x:v>Alert/event log</x:v>
      </x:c>
      <x:c r="D7" s="17" t="str">
        <x:v>type, ts, node_id</x:v>
      </x:c>
      <x:c r="E7" s="17" t="str">
        <x:v>Permanent</x:v>
      </x:c>
      <x:c r="F7" s="17" t="str">
        <x:v>New</x:v>
      </x:c>
      <x:c r="G7" s="17" t="str">
        <x:v>Replaces alert-only DB.</x:v>
      </x:c>
    </x:row>
    <x:row r="8">
      <x:c r="A8" s="17" t="str">
        <x:v>media</x:v>
      </x:c>
      <x:c r="B8" s="17" t="str">
        <x:v>id, event_id, node_id, path, camera_id, start_ts, duration_sec</x:v>
      </x:c>
      <x:c r="C8" s="17" t="str">
        <x:v>Recorded video metadata</x:v>
      </x:c>
      <x:c r="D8" s="17" t="str">
        <x:v>event_id</x:v>
      </x:c>
      <x:c r="E8" s="17" t="str">
        <x:v>Rotate by storage</x:v>
      </x:c>
      <x:c r="F8" s="17" t="str">
        <x:v>New</x:v>
      </x:c>
      <x:c r="G8" s="17" t="str">
        <x:v>Clip files on disk.</x:v>
      </x:c>
    </x:row>
    <x:row r="9">
      <x:c r="A9" s="17" t="str">
        <x:v>lora_packets</x:v>
      </x:c>
      <x:c r="B9" s="17" t="str">
        <x:v>id, node_id, seq, rx_ts, rssi, snr, payload_json, accepted</x:v>
      </x:c>
      <x:c r="C9" s="17" t="str">
        <x:v>PDR/RSSI audit</x:v>
      </x:c>
      <x:c r="D9" s="17" t="str">
        <x:v>node_id, seq</x:v>
      </x:c>
      <x:c r="E9" s="17" t="str">
        <x:v>30-90 days</x:v>
      </x:c>
      <x:c r="F9" s="17" t="str">
        <x:v>New</x:v>
      </x:c>
      <x:c r="G9" s="17" t="str">
        <x:v>Supports PDF performance metrics.</x:v>
      </x:c>
    </x:row>
    <x:row r="10">
      <x:c r="A10" s="17" t="str">
        <x:v>settings_history</x:v>
      </x:c>
      <x:c r="B10" s="17" t="str">
        <x:v>id, ts, key, old_value, new_value, actor</x:v>
      </x:c>
      <x:c r="C10" s="17" t="str">
        <x:v>Config change audit</x:v>
      </x:c>
      <x:c r="D10" s="17" t="str">
        <x:v>ts</x:v>
      </x:c>
      <x:c r="E10" s="17" t="str">
        <x:v>Permanent</x:v>
      </x:c>
      <x:c r="F10" s="17" t="str">
        <x:v>Optional</x:v>
      </x:c>
      <x:c r="G10" s="17" t="str">
        <x:v>Useful for field tuning.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Dashboard UX</x:v>
      </x:c>
      <x:c r="B1" s="4"/>
      <x:c r="C1" s="4"/>
      <x:c r="D1" s="4"/>
      <x:c r="E1" s="4"/>
      <x:c r="F1" s="4"/>
      <x:c r="G1" s="4"/>
      <x:c r="H1" s="4"/>
    </x:row>
    <x:row r="2">
      <x:c r="A2" s="6" t="str">
        <x:v>Main web dashboard behavior.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View</x:v>
      </x:c>
      <x:c r="B4" s="16" t="str">
        <x:v>Components</x:v>
      </x:c>
      <x:c r="C4" s="16" t="str">
        <x:v>Data Source</x:v>
      </x:c>
      <x:c r="D4" s="16" t="str">
        <x:v>Update Method</x:v>
      </x:c>
      <x:c r="E4" s="16" t="str">
        <x:v>Acceptance</x:v>
      </x:c>
      <x:c r="F4" s="16" t="str">
        <x:v>Status</x:v>
      </x:c>
      <x:c r="G4" s="16" t="str">
        <x:v>Notes</x:v>
      </x:c>
    </x:row>
    <x:row r="5">
      <x:c r="A5" s="17" t="str">
        <x:v>Overview</x:v>
      </x:c>
      <x:c r="B5" s="17" t="str">
        <x:v>4 node cards, alarm state, battery, LoRa PDR/RSSI, latest readings</x:v>
      </x:c>
      <x:c r="C5" s="17" t="str">
        <x:v>/api/server-dashboard + /api/stream</x:v>
      </x:c>
      <x:c r="D5" s="17" t="str">
        <x:v>SSE + fallback polling</x:v>
      </x:c>
      <x:c r="E5" s="17" t="str">
        <x:v>All nodes visible within one screen</x:v>
      </x:c>
      <x:c r="F5" s="17" t="str">
        <x:v>Extend</x:v>
      </x:c>
      <x:c r="G5" s="17" t="str">
        <x:v>Keep utilitarian dashboard style.</x:v>
      </x:c>
    </x:row>
    <x:row r="6">
      <x:c r="A6" s="17" t="str">
        <x:v>Camera Grid</x:v>
      </x:c>
      <x:c r="B6" s="17" t="str">
        <x:v>4 daytime camera feeds</x:v>
      </x:c>
      <x:c r="C6" s="17" t="str">
        <x:v>/video_feed/&lt;node_id&gt;</x:v>
      </x:c>
      <x:c r="D6" s="17" t="str">
        <x:v>MJPEG</x:v>
      </x:c>
      <x:c r="E6" s="17" t="str">
        <x:v>All feeds viewable from main server</x:v>
      </x:c>
      <x:c r="F6" s="17" t="str">
        <x:v>Extend</x:v>
      </x:c>
      <x:c r="G6" s="17" t="str">
        <x:v>Use low FPS/resolution if Wi-Fi weak.</x:v>
      </x:c>
    </x:row>
    <x:row r="7">
      <x:c r="A7" s="17" t="str">
        <x:v>Thermal</x:v>
      </x:c>
      <x:c r="B7" s="17" t="str">
        <x:v>Main MLX90640 heat map and detection metrics</x:v>
      </x:c>
      <x:c r="C7" s="17" t="str">
        <x:v>/thermal_feed</x:v>
      </x:c>
      <x:c r="D7" s="17" t="str">
        <x:v>MJPEG/PNG</x:v>
      </x:c>
      <x:c r="E7" s="17" t="str">
        <x:v>Only main server thermal appears</x:v>
      </x:c>
      <x:c r="F7" s="17" t="str">
        <x:v>Existing/Constrain</x:v>
      </x:c>
      <x:c r="G7" s="17" t="str">
        <x:v>No remote thermal panels.</x:v>
      </x:c>
    </x:row>
    <x:row r="8">
      <x:c r="A8" s="17" t="str">
        <x:v>Alerts</x:v>
      </x:c>
      <x:c r="B8" s="17" t="str">
        <x:v>Active alerts, ack button, siren state</x:v>
      </x:c>
      <x:c r="C8" s="17" t="str">
        <x:v>/api/events</x:v>
      </x:c>
      <x:c r="D8" s="17" t="str">
        <x:v>SSE/poll</x:v>
      </x:c>
      <x:c r="E8" s="17" t="str">
        <x:v>Smoke/chainsaw/fire events prominent</x:v>
      </x:c>
      <x:c r="F8" s="17" t="str">
        <x:v>New</x:v>
      </x:c>
      <x:c r="G8" s="17" t="str">
        <x:v>Record audit trail.</x:v>
      </x:c>
    </x:row>
    <x:row r="9">
      <x:c r="A9" s="17" t="str">
        <x:v>History</x:v>
      </x:c>
      <x:c r="B9" s="17" t="str">
        <x:v>Reading charts, event clips, logs</x:v>
      </x:c>
      <x:c r="C9" s="17" t="str">
        <x:v>/api/readings /api/events</x:v>
      </x:c>
      <x:c r="D9" s="17" t="str">
        <x:v>On demand</x:v>
      </x:c>
      <x:c r="E9" s="17" t="str">
        <x:v>Filter by node/date/event</x:v>
      </x:c>
      <x:c r="F9" s="17" t="str">
        <x:v>New</x:v>
      </x:c>
      <x:c r="G9" s="17" t="str">
        <x:v>Useful for thesis validation.</x:v>
      </x:c>
    </x:row>
    <x:row r="10">
      <x:c r="A10" s="17" t="str">
        <x:v>Settings</x:v>
      </x:c>
      <x:c r="B10" s="17" t="str">
        <x:v>Node IPs, LoRa, thresholds, camera, audio, siren, Wi-Fi</x:v>
      </x:c>
      <x:c r="C10" s="17" t="str">
        <x:v>/api/config</x:v>
      </x:c>
      <x:c r="D10" s="17" t="str">
        <x:v>Manual save</x:v>
      </x:c>
      <x:c r="E10" s="17" t="str">
        <x:v>Changes logged</x:v>
      </x:c>
      <x:c r="F10" s="17" t="str">
        <x:v>Extend</x:v>
      </x:c>
      <x:c r="G10" s="17" t="str">
        <x:v>Avoid web-triggered Wi-Fi changes that disconnect RPi.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AI &amp; Detection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Baseline and upgrade path for fire, chainsaw, and thermal detection.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Detection</x:v>
      </x:c>
      <x:c r="B4" s="16" t="str">
        <x:v>Baseline Logic</x:v>
      </x:c>
      <x:c r="C4" s="16" t="str">
        <x:v>Current Code / Source</x:v>
      </x:c>
      <x:c r="D4" s="16" t="str">
        <x:v>Improvement</x:v>
      </x:c>
      <x:c r="E4" s="16" t="str">
        <x:v>Metrics</x:v>
      </x:c>
      <x:c r="F4" s="16" t="str">
        <x:v>Status</x:v>
      </x:c>
      <x:c r="G4" s="16" t="str">
        <x:v>Notes</x:v>
      </x:c>
    </x:row>
    <x:row r="5">
      <x:c r="A5" s="17" t="str">
        <x:v>Fire Risk</x:v>
      </x:c>
      <x:c r="B5" s="17" t="str">
        <x:v>Temp &gt;= threshold AND humidity &lt;= threshold</x:v>
      </x:c>
      <x:c r="C5" s="17" t="str">
        <x:v>PDF algorithm</x:v>
      </x:c>
      <x:c r="D5" s="17" t="str">
        <x:v>Add site-calibrated thresholds and trend filter</x:v>
      </x:c>
      <x:c r="E5" s="17" t="str">
        <x:v>Warning latency, false warnings/day</x:v>
      </x:c>
      <x:c r="F5" s="17" t="str">
        <x:v>Proposed</x:v>
      </x:c>
      <x:c r="G5" s="17" t="str">
        <x:v>Warning only until smoke confirms.</x:v>
      </x:c>
    </x:row>
    <x:row r="6">
      <x:c r="A6" s="17" t="str">
        <x:v>Fire Alert</x:v>
      </x:c>
      <x:c r="B6" s="17" t="str">
        <x:v>Fire risk AND smoke above threshold/detected</x:v>
      </x:c>
      <x:c r="C6" s="17" t="str">
        <x:v>PDF algorithm</x:v>
      </x:c>
      <x:c r="D6" s="17" t="str">
        <x:v>Use analog PPM plus digital fallback</x:v>
      </x:c>
      <x:c r="E6" s="17" t="str">
        <x:v>Recall, alert latency</x:v>
      </x:c>
      <x:c r="F6" s="17" t="str">
        <x:v>Proposed</x:v>
      </x:c>
      <x:c r="G6" s="17" t="str">
        <x:v>Triggers siren.</x:v>
      </x:c>
    </x:row>
    <x:row r="7">
      <x:c r="A7" s="17" t="str">
        <x:v>Chainsaw</x:v>
      </x:c>
      <x:c r="B7" s="17" t="str">
        <x:v>RPi FFT/RMS/mechanical-band score with multi-window confirmation</x:v>
      </x:c>
      <x:c r="C7" s="17" t="str">
        <x:v>detector.py in RPi ZIPs</x:v>
      </x:c>
      <x:c r="D7" s="17" t="str">
        <x:v>Noise floor tracking, calibration, persistence, optional TFLite classifier</x:v>
      </x:c>
      <x:c r="E7" s="17" t="str">
        <x:v>Precision, recall, false positives/hour</x:v>
      </x:c>
      <x:c r="F7" s="17" t="str">
        <x:v>Existing/Improve</x:v>
      </x:c>
      <x:c r="G7" s="17" t="str">
        <x:v>Do not move primary detector to ESP32.</x:v>
      </x:c>
    </x:row>
    <x:row r="8">
      <x:c r="A8" s="17" t="str">
        <x:v>Thermal Event</x:v>
      </x:c>
      <x:c r="B8" s="17" t="str">
        <x:v>MLX90640 blob temp &gt;= ambient + delta, min area, persistence</x:v>
      </x:c>
      <x:c r="C8" s="17" t="str">
        <x:v>thermal_camera.py</x:v>
      </x:c>
      <x:c r="D8" s="17" t="str">
        <x:v>Add night-mode thresholds and false hot-spot suppression</x:v>
      </x:c>
      <x:c r="E8" s="17" t="str">
        <x:v>Detection latency, false positives</x:v>
      </x:c>
      <x:c r="F8" s="17" t="str">
        <x:v>Existing/Main only</x:v>
      </x:c>
      <x:c r="G8" s="17" t="str">
        <x:v>Only center/main node.</x:v>
      </x:c>
    </x:row>
    <x:row r="9">
      <x:c r="A9" s="17" t="str">
        <x:v>Camera Smoke/Flame</x:v>
      </x:c>
      <x:c r="B9" s="17" t="str">
        <x:v>None in baseline</x:v>
      </x:c>
      <x:c r="C9" s="17" t="str">
        <x:v>N/A</x:v>
      </x:c>
      <x:c r="D9" s="17" t="str">
        <x:v>Optional YOLO/TFLite only after dataset exists</x:v>
      </x:c>
      <x:c r="E9" s="17" t="str">
        <x:v>Precision/recall/FPS</x:v>
      </x:c>
      <x:c r="F9" s="17" t="str">
        <x:v>Future</x:v>
      </x:c>
      <x:c r="G9" s="17" t="str">
        <x:v>Not required for initial build.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Camera &amp; Recording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Daytime camera feeds on all nodes and main thermal behavior.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Feature</x:v>
      </x:c>
      <x:c r="B4" s="16" t="str">
        <x:v>Design</x:v>
      </x:c>
      <x:c r="C4" s="16" t="str">
        <x:v>Trigger</x:v>
      </x:c>
      <x:c r="D4" s="16" t="str">
        <x:v>Storage / URL</x:v>
      </x:c>
      <x:c r="E4" s="16" t="str">
        <x:v>Status</x:v>
      </x:c>
      <x:c r="F4" s="16" t="str">
        <x:v>Notes</x:v>
      </x:c>
    </x:row>
    <x:row r="5">
      <x:c r="A5" s="17" t="str">
        <x:v>Daytime camera</x:v>
      </x:c>
      <x:c r="B5" s="17" t="str">
        <x:v>One normal camera per node including main</x:v>
      </x:c>
      <x:c r="C5" s="17" t="str">
        <x:v>Always available while app running</x:v>
      </x:c>
      <x:c r="D5" s="17" t="str">
        <x:v>/video_feed/&lt;node_id&gt;</x:v>
      </x:c>
      <x:c r="E5" s="17" t="str">
        <x:v>Approved</x:v>
      </x:c>
      <x:c r="F5" s="17" t="str">
        <x:v>All feeds viewable on main dashboard.</x:v>
      </x:c>
    </x:row>
    <x:row r="6">
      <x:c r="A6" s="17" t="str">
        <x:v>Thermal camera</x:v>
      </x:c>
      <x:c r="B6" s="17" t="str">
        <x:v>One MLX90640 on center/main RPi</x:v>
      </x:c>
      <x:c r="C6" s="17" t="str">
        <x:v>Night mode/manual/dashboard</x:v>
      </x:c>
      <x:c r="D6" s="17" t="str">
        <x:v>/thermal_feed</x:v>
      </x:c>
      <x:c r="E6" s="17" t="str">
        <x:v>Approved</x:v>
      </x:c>
      <x:c r="F6" s="17" t="str">
        <x:v>No remote thermal camera.</x:v>
      </x:c>
    </x:row>
    <x:row r="7">
      <x:c r="A7" s="17" t="str">
        <x:v>Chainsaw recording</x:v>
      </x:c>
      <x:c r="B7" s="17" t="str">
        <x:v>Record detecting node's daytime camera; optionally record main camera too</x:v>
      </x:c>
      <x:c r="C7" s="17" t="str">
        <x:v>chainsaw_detected true</x:v>
      </x:c>
      <x:c r="D7" s="17" t="str">
        <x:v>media/YYYY-MM-DD/&lt;event_id&gt;_&lt;node_id&gt;.mp4</x:v>
      </x:c>
      <x:c r="E7" s="17" t="str">
        <x:v>New</x:v>
      </x:c>
      <x:c r="F7" s="17" t="str">
        <x:v>Use pre-roll buffer if feasible.</x:v>
      </x:c>
    </x:row>
    <x:row r="8">
      <x:c r="A8" s="17" t="str">
        <x:v>Smoke/fire evidence</x:v>
      </x:c>
      <x:c r="B8" s="17" t="str">
        <x:v>Snapshot/short clip from node camera</x:v>
      </x:c>
      <x:c r="C8" s="17" t="str">
        <x:v>fire alert/smoke alert</x:v>
      </x:c>
      <x:c r="D8" s="17" t="str">
        <x:v>media/YYYY-MM-DD/&lt;event_id&gt;_&lt;node_id&gt;.jpg/mp4</x:v>
      </x:c>
      <x:c r="E8" s="17" t="str">
        <x:v>New</x:v>
      </x:c>
      <x:c r="F8" s="17" t="str">
        <x:v>Useful for validation.</x:v>
      </x:c>
    </x:row>
    <x:row r="9">
      <x:c r="A9" s="17" t="str">
        <x:v>Retention</x:v>
      </x:c>
      <x:c r="B9" s="17" t="str">
        <x:v>Rotate clips by age/storage</x:v>
      </x:c>
      <x:c r="C9" s="17" t="str">
        <x:v>Scheduled cleanup</x:v>
      </x:c>
      <x:c r="D9" s="17" t="str">
        <x:v>configurable</x:v>
      </x:c>
      <x:c r="E9" s="17" t="str">
        <x:v>New</x:v>
      </x:c>
      <x:c r="F9" s="17" t="str">
        <x:v>Do not fill SD card.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Deployment DevOps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Run, recover, monitor, and update the field system.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Area</x:v>
      </x:c>
      <x:c r="B4" s="16" t="str">
        <x:v>Recommendation</x:v>
      </x:c>
      <x:c r="C4" s="16" t="str">
        <x:v>Applies To</x:v>
      </x:c>
      <x:c r="D4" s="16" t="str">
        <x:v>Status</x:v>
      </x:c>
      <x:c r="E4" s="16" t="str">
        <x:v>Command / Config</x:v>
      </x:c>
      <x:c r="F4" s="16" t="str">
        <x:v>Notes</x:v>
      </x:c>
    </x:row>
    <x:row r="5">
      <x:c r="A5" s="17" t="str">
        <x:v>Process manager</x:v>
      </x:c>
      <x:c r="B5" s="17" t="str">
        <x:v>systemd services for RPi app, LoRa gateway, recording worker</x:v>
      </x:c>
      <x:c r="C5" s="17" t="str">
        <x:v>All RPis</x:v>
      </x:c>
      <x:c r="D5" s="17" t="str">
        <x:v>Proposed</x:v>
      </x:c>
      <x:c r="E5" s="17" t="str">
        <x:v>firenode-app.service</x:v>
      </x:c>
      <x:c r="F5" s="17" t="str">
        <x:v>Restart=always.</x:v>
      </x:c>
    </x:row>
    <x:row r="6">
      <x:c r="A6" s="17" t="str">
        <x:v>Runtime</x:v>
      </x:c>
      <x:c r="B6" s="17" t="str">
        <x:v>Python venv with system-site packages on RPi OS</x:v>
      </x:c>
      <x:c r="C6" s="17" t="str">
        <x:v>All RPis</x:v>
      </x:c>
      <x:c r="D6" s="17" t="str">
        <x:v>Existing</x:v>
      </x:c>
      <x:c r="E6" s="17" t="str">
        <x:v>setup.sh</x:v>
      </x:c>
      <x:c r="F6" s="17" t="str">
        <x:v>Matches current ZIP.</x:v>
      </x:c>
    </x:row>
    <x:row r="7">
      <x:c r="A7" s="17" t="str">
        <x:v>Firmware build</x:v>
      </x:c>
      <x:c r="B7" s="17" t="str">
        <x:v>PlatformIO for ESP32</x:v>
      </x:c>
      <x:c r="C7" s="17" t="str">
        <x:v>ESP32 nodes</x:v>
      </x:c>
      <x:c r="D7" s="17" t="str">
        <x:v>Existing</x:v>
      </x:c>
      <x:c r="E7" s="17" t="str">
        <x:v>pio run / upload</x:v>
      </x:c>
      <x:c r="F7" s="17" t="str">
        <x:v>Add CI build later.</x:v>
      </x:c>
    </x:row>
    <x:row r="8">
      <x:c r="A8" s="17" t="str">
        <x:v>Config</x:v>
      </x:c>
      <x:c r="B8" s="17" t="str">
        <x:v>config.json plus environment override</x:v>
      </x:c>
      <x:c r="C8" s="17" t="str">
        <x:v>All RPis</x:v>
      </x:c>
      <x:c r="D8" s="17" t="str">
        <x:v>Existing/Extend</x:v>
      </x:c>
      <x:c r="E8" s="17" t="str">
        <x:v>config.json</x:v>
      </x:c>
      <x:c r="F8" s="17" t="str">
        <x:v>Track changes in workbook.</x:v>
      </x:c>
    </x:row>
    <x:row r="9">
      <x:c r="A9" s="17" t="str">
        <x:v>Logging</x:v>
      </x:c>
      <x:c r="B9" s="17" t="str">
        <x:v>Rotating logs + SQLite events</x:v>
      </x:c>
      <x:c r="C9" s="17" t="str">
        <x:v>All RPis/main</x:v>
      </x:c>
      <x:c r="D9" s="17" t="str">
        <x:v>New</x:v>
      </x:c>
      <x:c r="E9" s="17" t="str">
        <x:v>logs/*.log, logs/fire_node.db</x:v>
      </x:c>
      <x:c r="F9" s="17" t="str">
        <x:v>Avoid SD card growth.</x:v>
      </x:c>
    </x:row>
    <x:row r="10">
      <x:c r="A10" s="17" t="str">
        <x:v>CI</x:v>
      </x:c>
      <x:c r="B10" s="17" t="str">
        <x:v>Python tests + PlatformIO build + workbook committed</x:v>
      </x:c>
      <x:c r="C10" s="17" t="str">
        <x:v>GitHub</x:v>
      </x:c>
      <x:c r="D10" s="17" t="str">
        <x:v>Partial</x:v>
      </x:c>
      <x:c r="E10" s="17" t="str">
        <x:v>GitHub Actions</x:v>
      </x:c>
      <x:c r="F10" s="17" t="str">
        <x:v>Workflow file exists locally but HTTPS token lacks workflow scope; pushed baseline without workflow.</x:v>
      </x:c>
    </x:row>
    <x:row r="11">
      <x:c r="A11" s="17" t="str">
        <x:v>Deployment</x:v>
      </x:c>
      <x:c r="B11" s="17" t="str">
        <x:v>Tagged releases or zip package per node role</x:v>
      </x:c>
      <x:c r="C11" s="17" t="str">
        <x:v>GitHub</x:v>
      </x:c>
      <x:c r="D11" s="17" t="str">
        <x:v>Future</x:v>
      </x:c>
      <x:c r="E11" s="17" t="str">
        <x:v>release artifacts</x:v>
      </x:c>
      <x:c r="F11" s="17" t="str">
        <x:v>Keep main/node config examples.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Test Campaign</x:v>
      </x:c>
      <x:c r="B1" s="4"/>
      <x:c r="C1" s="4"/>
      <x:c r="D1" s="4"/>
      <x:c r="E1" s="4"/>
      <x:c r="F1" s="4"/>
      <x:c r="G1" s="4"/>
      <x:c r="H1" s="4"/>
    </x:row>
    <x:row r="2">
      <x:c r="A2" s="6" t="str">
        <x:v>Validation plan tied to PDF and field demo requirements.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Test ID</x:v>
      </x:c>
      <x:c r="B4" s="16" t="str">
        <x:v>Test</x:v>
      </x:c>
      <x:c r="C4" s="16" t="str">
        <x:v>Procedure</x:v>
      </x:c>
      <x:c r="D4" s="16" t="str">
        <x:v>Expected Result</x:v>
      </x:c>
      <x:c r="E4" s="16" t="str">
        <x:v>Metric</x:v>
      </x:c>
      <x:c r="F4" s="16" t="str">
        <x:v>Status</x:v>
      </x:c>
      <x:c r="G4" s="16" t="str">
        <x:v>Evidence</x:v>
      </x:c>
    </x:row>
    <x:row r="5">
      <x:c r="A5" s="17" t="str">
        <x:v>T001</x:v>
      </x:c>
      <x:c r="B5" s="17" t="str">
        <x:v>Dashboard 1-minute update</x:v>
      </x:c>
      <x:c r="C5" s="17" t="str">
        <x:v>Run all nodes and observe sensor updates</x:v>
      </x:c>
      <x:c r="D5" s="17" t="str">
        <x:v>Temp/humidity/smoke/audio status update within 60 sec</x:v>
      </x:c>
      <x:c r="E5" s="17" t="str">
        <x:v>Update latency</x:v>
      </x:c>
      <x:c r="F5" s="17" t="str">
        <x:v>Not Started</x:v>
      </x:c>
      <x:c r="G5" s="17" t="str"/>
    </x:row>
    <x:row r="6">
      <x:c r="A6" s="17" t="str">
        <x:v>T002</x:v>
      </x:c>
      <x:c r="B6" s="17" t="str">
        <x:v>Smoke introduction</x:v>
      </x:c>
      <x:c r="C6" s="17" t="str">
        <x:v>Introduce safe smoke source near MQ2</x:v>
      </x:c>
      <x:c r="D6" s="17" t="str">
        <x:v>Fire alert + siren activation</x:v>
      </x:c>
      <x:c r="E6" s="17" t="str">
        <x:v>Detection latency</x:v>
      </x:c>
      <x:c r="F6" s="17" t="str">
        <x:v>Not Started</x:v>
      </x:c>
      <x:c r="G6" s="17" t="str"/>
    </x:row>
    <x:row r="7">
      <x:c r="A7" s="17" t="str">
        <x:v>T003</x:v>
      </x:c>
      <x:c r="B7" s="17" t="str">
        <x:v>Fire risk warning</x:v>
      </x:c>
      <x:c r="C7" s="17" t="str">
        <x:v>Simulate high temp and low humidity without smoke</x:v>
      </x:c>
      <x:c r="D7" s="17" t="str">
        <x:v>Warning state, no siren</x:v>
      </x:c>
      <x:c r="E7" s="17" t="str">
        <x:v>False alarm prevention</x:v>
      </x:c>
      <x:c r="F7" s="17" t="str">
        <x:v>Not Started</x:v>
      </x:c>
      <x:c r="G7" s="17" t="str"/>
    </x:row>
    <x:row r="8">
      <x:c r="A8" s="17" t="str">
        <x:v>T004</x:v>
      </x:c>
      <x:c r="B8" s="17" t="str">
        <x:v>Chainsaw audio</x:v>
      </x:c>
      <x:c r="C8" s="17" t="str">
        <x:v>Play chainsaw/chopping audio near node</x:v>
      </x:c>
      <x:c r="D8" s="17" t="str">
        <x:v>Chainsaw alert and camera recording</x:v>
      </x:c>
      <x:c r="E8" s="17" t="str">
        <x:v>Score, latency, clip path</x:v>
      </x:c>
      <x:c r="F8" s="17" t="str">
        <x:v>Not Started</x:v>
      </x:c>
      <x:c r="G8" s="17" t="str"/>
    </x:row>
    <x:row r="9">
      <x:c r="A9" s="17" t="str">
        <x:v>T005</x:v>
      </x:c>
      <x:c r="B9" s="17" t="str">
        <x:v>Thermal night/main only</x:v>
      </x:c>
      <x:c r="C9" s="17" t="str">
        <x:v>Place warm human-like target near main MLX90640</x:v>
      </x:c>
      <x:c r="D9" s="17" t="str">
        <x:v>Thermal event on main only</x:v>
      </x:c>
      <x:c r="E9" s="17" t="str">
        <x:v>Thermal score</x:v>
      </x:c>
      <x:c r="F9" s="17" t="str">
        <x:v>Not Started</x:v>
      </x:c>
      <x:c r="G9" s="17" t="str"/>
    </x:row>
    <x:row r="10">
      <x:c r="A10" s="17" t="str">
        <x:v>T006</x:v>
      </x:c>
      <x:c r="B10" s="17" t="str">
        <x:v>Camera grid</x:v>
      </x:c>
      <x:c r="C10" s="17" t="str">
        <x:v>Open main dashboard</x:v>
      </x:c>
      <x:c r="D10" s="17" t="str">
        <x:v>All 4 daytime feeds visible</x:v>
      </x:c>
      <x:c r="E10" s="17" t="str">
        <x:v>FPS/stability</x:v>
      </x:c>
      <x:c r="F10" s="17" t="str">
        <x:v>Not Started</x:v>
      </x:c>
      <x:c r="G10" s="17" t="str"/>
    </x:row>
    <x:row r="11">
      <x:c r="A11" s="17" t="str">
        <x:v>T007</x:v>
      </x:c>
      <x:c r="B11" s="17" t="str">
        <x:v>LoRa PDR</x:v>
      </x:c>
      <x:c r="C11" s="17" t="str">
        <x:v>Send 100 telemetry packets per node</x:v>
      </x:c>
      <x:c r="D11" s="17" t="str">
        <x:v>PDR &gt;70%</x:v>
      </x:c>
      <x:c r="E11" s="17" t="str">
        <x:v>PDR/RSSI/SNR</x:v>
      </x:c>
      <x:c r="F11" s="17" t="str">
        <x:v>Not Started</x:v>
      </x:c>
      <x:c r="G11" s="17" t="str"/>
    </x:row>
    <x:row r="12">
      <x:c r="A12" s="17" t="str">
        <x:v>T008</x:v>
      </x:c>
      <x:c r="B12" s="17" t="str">
        <x:v>Offline node</x:v>
      </x:c>
      <x:c r="C12" s="17" t="str">
        <x:v>Power off one node</x:v>
      </x:c>
      <x:c r="D12" s="17" t="str">
        <x:v>Dashboard marks offline after missed heartbeats</x:v>
      </x:c>
      <x:c r="E12" s="17" t="str">
        <x:v>Offline latency</x:v>
      </x:c>
      <x:c r="F12" s="17" t="str">
        <x:v>Not Started</x:v>
      </x:c>
      <x:c r="G12" s="17" t="str"/>
    </x:row>
    <x:row r="13">
      <x:c r="A13" s="17" t="str">
        <x:v>T009</x:v>
      </x:c>
      <x:c r="B13" s="17" t="str">
        <x:v>Battery warning</x:v>
      </x:c>
      <x:c r="C13" s="17" t="str">
        <x:v>Inject/measure low battery voltage</x:v>
      </x:c>
      <x:c r="D13" s="17" t="str">
        <x:v>Low-voltage warning logged</x:v>
      </x:c>
      <x:c r="E13" s="17" t="str">
        <x:v>Voltage accuracy</x:v>
      </x:c>
      <x:c r="F13" s="17" t="str">
        <x:v>Not Started</x:v>
      </x:c>
      <x:c r="G13" s="17" t="str"/>
    </x:row>
    <x:row r="14">
      <x:c r="A14" s="17" t="str">
        <x:v>T010</x:v>
      </x:c>
      <x:c r="B14" s="17" t="str">
        <x:v>Siren control</x:v>
      </x:c>
      <x:c r="C14" s="17" t="str">
        <x:v>Trigger alert and manual test</x:v>
      </x:c>
      <x:c r="D14" s="17" t="str">
        <x:v>Relay/siren operates, cooldown works</x:v>
      </x:c>
      <x:c r="E14" s="17" t="str">
        <x:v>Activation time</x:v>
      </x:c>
      <x:c r="F14" s="17" t="str">
        <x:v>Not Started</x:v>
      </x:c>
      <x:c r="G14" s="17" t="str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Progress Tracker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One row per completed or pending implementation step.</x:v>
      </x:c>
      <x:c r="B2" s="6"/>
      <x:c r="C2" s="6"/>
      <x:c r="D2" s="6"/>
      <x:c r="E2" s="6"/>
      <x:c r="F2" s="6"/>
      <x:c r="G2" s="6"/>
      <x:c r="H2" s="6"/>
    </x:row>
    <x:row r="3">
      <x:c r="A3" s="16" t="str">
        <x:v>Step ID</x:v>
      </x:c>
      <x:c r="B3" s="16" t="str">
        <x:v>Workstream</x:v>
      </x:c>
      <x:c r="C3" s="16" t="str">
        <x:v>Task</x:v>
      </x:c>
      <x:c r="D3" s="16" t="str">
        <x:v>Status</x:v>
      </x:c>
      <x:c r="E3" s="16" t="str">
        <x:v>Owner</x:v>
      </x:c>
      <x:c r="F3" s="16" t="str">
        <x:v>Date Completed</x:v>
      </x:c>
      <x:c r="G3" s="16" t="str">
        <x:v>Evidence</x:v>
      </x:c>
      <x:c r="H3" s="16" t="str">
        <x:v>Next Action</x:v>
      </x:c>
    </x:row>
    <x:row r="4">
      <x:c r="A4" s="17" t="str">
        <x:v>P001</x:v>
      </x:c>
      <x:c r="B4" s="17" t="str">
        <x:v>Research</x:v>
      </x:c>
      <x:c r="C4" s="17" t="str">
        <x:v>Inspected PDF, PNG, ZIPs, Zoom transcript/video, and ESP32 firmware context</x:v>
      </x:c>
      <x:c r="D4" s="17" t="str">
        <x:v>Done</x:v>
      </x:c>
      <x:c r="E4" s="17" t="str">
        <x:v>Codex</x:v>
      </x:c>
      <x:c r="F4" s="17" t="str">
        <x:v>2026-05-13</x:v>
      </x:c>
      <x:c r="G4" s="17" t="str">
        <x:v>Chat analysis and artifacts</x:v>
      </x:c>
      <x:c r="H4" s="17" t="str">
        <x:v>Use workbook as source of truth</x:v>
      </x:c>
    </x:row>
    <x:row r="5">
      <x:c r="A5" s="17" t="str">
        <x:v>P002</x:v>
      </x:c>
      <x:c r="B5" s="17" t="str">
        <x:v>Architecture</x:v>
      </x:c>
      <x:c r="C5" s="17" t="str">
        <x:v>Resolved final topology: 4 RPi field units, hybrid LoRa/Wi-Fi, one thermal on main</x:v>
      </x:c>
      <x:c r="D5" s="17" t="str">
        <x:v>Done</x:v>
      </x:c>
      <x:c r="E5" s="17" t="str">
        <x:v>Codex/User</x:v>
      </x:c>
      <x:c r="F5" s="17" t="str">
        <x:v>2026-05-13</x:v>
      </x:c>
      <x:c r="G5" s="17" t="str">
        <x:v>User clarification answers</x:v>
      </x:c>
      <x:c r="H5" s="17" t="str">
        <x:v>Implement repo baseline</x:v>
      </x:c>
    </x:row>
    <x:row r="6">
      <x:c r="A6" s="17" t="str">
        <x:v>P003</x:v>
      </x:c>
      <x:c r="B6" s="17" t="str">
        <x:v>Workbook</x:v>
      </x:c>
      <x:c r="C6" s="17" t="str">
        <x:v>Create implementation workbook similar to MANET reference</x:v>
      </x:c>
      <x:c r="D6" s="17" t="str">
        <x:v>Done</x:v>
      </x:c>
      <x:c r="E6" s="17" t="str">
        <x:v>Codex</x:v>
      </x:c>
      <x:c r="F6" s="17" t="str">
        <x:v>2026-05-13</x:v>
      </x:c>
      <x:c r="G6" s="17" t="str">
        <x:v>ADM_FireNode_Implementation_Workbook.xlsx</x:v>
      </x:c>
      <x:c r="H6" s="17" t="str">
        <x:v>Commit workbook to GitHub</x:v>
      </x:c>
    </x:row>
    <x:row r="7">
      <x:c r="A7" s="17" t="str">
        <x:v>P004</x:v>
      </x:c>
      <x:c r="B7" s="17" t="str">
        <x:v>Git</x:v>
      </x:c>
      <x:c r="C7" s="17" t="str">
        <x:v>Initialize local Git repository and clean ignore rules</x:v>
      </x:c>
      <x:c r="D7" s="17" t="str">
        <x:v>Done</x:v>
      </x:c>
      <x:c r="E7" s="17" t="str">
        <x:v>Codex</x:v>
      </x:c>
      <x:c r="F7" s="17" t="str">
        <x:v>2026-05-13</x:v>
      </x:c>
      <x:c r="G7" s="17" t="str">
        <x:v>git init; .gitignore</x:v>
      </x:c>
      <x:c r="H7" s="17" t="str">
        <x:v>Provide GitHub remote URL for push</x:v>
      </x:c>
    </x:row>
    <x:row r="8">
      <x:c r="A8" s="17" t="str">
        <x:v>P005</x:v>
      </x:c>
      <x:c r="B8" s="17" t="str">
        <x:v>Code Baseline</x:v>
      </x:c>
      <x:c r="C8" s="17" t="str">
        <x:v>Unpack and structure RPi and ESP32 code into repo</x:v>
      </x:c>
      <x:c r="D8" s="17" t="str">
        <x:v>Done</x:v>
      </x:c>
      <x:c r="E8" s="17" t="str">
        <x:v>Codex</x:v>
      </x:c>
      <x:c r="F8" s="17" t="str">
        <x:v>2026-05-13</x:v>
      </x:c>
      <x:c r="G8" s="17" t="str">
        <x:v>raspi/firenode-system; firmware/esp32-firenode</x:v>
      </x:c>
      <x:c r="H8" s="17" t="str">
        <x:v>Run simulation baseline</x:v>
      </x:c>
    </x:row>
    <x:row r="9">
      <x:c r="A9" s="17" t="str">
        <x:v>P006</x:v>
      </x:c>
      <x:c r="B9" s="17" t="str">
        <x:v>Simulation</x:v>
      </x:c>
      <x:c r="C9" s="17" t="str">
        <x:v>Add simulation run documentation and start script</x:v>
      </x:c>
      <x:c r="D9" s="17" t="str">
        <x:v>Done</x:v>
      </x:c>
      <x:c r="E9" s="17" t="str">
        <x:v>Codex</x:v>
      </x:c>
      <x:c r="F9" s="17" t="str">
        <x:v>2026-05-13</x:v>
      </x:c>
      <x:c r="G9" s="17" t="str">
        <x:v>simulation/README.md; scripts/start_main_simulation.sh</x:v>
      </x:c>
      <x:c r="H9" s="17" t="str">
        <x:v>Run script in compatible Python/RPi environment</x:v>
      </x:c>
    </x:row>
    <x:row r="10">
      <x:c r="A10" s="17" t="str">
        <x:v>P010</x:v>
      </x:c>
      <x:c r="B10" s="17" t="str">
        <x:v>Simulation</x:v>
      </x:c>
      <x:c r="C10" s="17" t="str">
        <x:v>Boot main dashboard in simulation mode and verify API node inventory</x:v>
      </x:c>
      <x:c r="D10" s="17" t="str">
        <x:v>Done</x:v>
      </x:c>
      <x:c r="E10" s="17" t="str">
        <x:v>Codex</x:v>
      </x:c>
      <x:c r="F10" s="17" t="str">
        <x:v>2026-05-13</x:v>
      </x:c>
      <x:c r="G10" s="17" t="str">
        <x:v>HTTP 200 on /; /api/server-dashboard shows 4 nodes and 3 simulated remotes</x:v>
      </x:c>
      <x:c r="H10" s="17" t="str">
        <x:v>Add cv2-free simulated local camera fallback</x:v>
      </x:c>
    </x:row>
    <x:row r="11">
      <x:c r="A11" s="17" t="str">
        <x:v>P011</x:v>
      </x:c>
      <x:c r="B11" s="17" t="str">
        <x:v>Simulation</x:v>
      </x:c>
      <x:c r="C11" s="17" t="str">
        <x:v>Add cv2-free local main camera fallback and verify main camera stream</x:v>
      </x:c>
      <x:c r="D11" s="17" t="str">
        <x:v>Done</x:v>
      </x:c>
      <x:c r="E11" s="17" t="str">
        <x:v>Codex</x:v>
      </x:c>
      <x:c r="F11" s="17" t="str">
        <x:v>2026-05-13</x:v>
      </x:c>
      <x:c r="G11" s="17" t="str">
        <x:v>/api/server-dashboard local camera running=true simulation=true; /video_feed/0 returns MJPEG</x:v>
      </x:c>
      <x:c r="H11" s="17" t="str">
        <x:v>Implement LoRa packet simulation/receiver path</x:v>
      </x:c>
    </x:row>
    <x:row r="12">
      <x:c r="A12" s="17" t="str">
        <x:v>P012</x:v>
      </x:c>
      <x:c r="B12" s="17" t="str">
        <x:v>LoRa Simulation</x:v>
      </x:c>
      <x:c r="C12" s="17" t="str">
        <x:v>Add simulated LoRa packet receiver contract with seq/RSSI/SNR/PDR/battery fields</x:v>
      </x:c>
      <x:c r="D12" s="17" t="str">
        <x:v>Done</x:v>
      </x:c>
      <x:c r="E12" s="17" t="str">
        <x:v>Codex</x:v>
      </x:c>
      <x:c r="F12" s="17" t="str">
        <x:v>2026-05-13</x:v>
      </x:c>
      <x:c r="G12" s="17" t="str">
        <x:v>/api/lora/status shows 4 active nodes and packet history; dashboard node JSON includes lora object</x:v>
      </x:c>
      <x:c r="H12" s="17" t="str">
        <x:v>Implement real LoRa receiver adapter and SQLite packet store</x:v>
      </x:c>
    </x:row>
    <x:row r="13">
      <x:c r="A13" s="17" t="str">
        <x:v>P013</x:v>
      </x:c>
      <x:c r="B13" s="17" t="str">
        <x:v>LoRa Storage</x:v>
      </x:c>
      <x:c r="C13" s="17" t="str">
        <x:v>Add SQLite LoRa packet store and packet ingest/history APIs</x:v>
      </x:c>
      <x:c r="D13" s="17" t="str">
        <x:v>Done</x:v>
      </x:c>
      <x:c r="E13" s="17" t="str">
        <x:v>Codex</x:v>
      </x:c>
      <x:c r="F13" s="17" t="str">
        <x:v>2026-05-13</x:v>
      </x:c>
      <x:c r="G13" s="17" t="str">
        <x:v>/api/lora/packets returns stored packet rows; /api/lora/ingest accepts future gateway packets</x:v>
      </x:c>
      <x:c r="H13" s="17" t="str">
        <x:v>Implement real LoRa receiver adapter</x:v>
      </x:c>
    </x:row>
    <x:row r="14">
      <x:c r="A14" s="17" t="str">
        <x:v>P014</x:v>
      </x:c>
      <x:c r="B14" s="17" t="str">
        <x:v>LoRa Gateway</x:v>
      </x:c>
      <x:c r="C14" s="17" t="str">
        <x:v>Add serial gateway adapter that reads one JSON packet per line and posts to /api/lora/ingest</x:v>
      </x:c>
      <x:c r="D14" s="17" t="str">
        <x:v>Done</x:v>
      </x:c>
      <x:c r="E14" s="17" t="str">
        <x:v>Codex</x:v>
      </x:c>
      <x:c r="F14" s="17" t="str">
        <x:v>2026-05-13</x:v>
      </x:c>
      <x:c r="G14" s="17" t="str">
        <x:v>lora_gateway_serial.py compiles; pyserial added to requirements</x:v>
      </x:c>
      <x:c r="H14" s="17" t="str">
        <x:v>Build ESP32 gateway firmware packet output</x:v>
      </x:c>
    </x:row>
    <x:row r="15">
      <x:c r="A15" s="17" t="str">
        <x:v>P015</x:v>
      </x:c>
      <x:c r="B15" s="17" t="str">
        <x:v>Firmware</x:v>
      </x:c>
      <x:c r="C15" s="17" t="str">
        <x:v>Add ESP32 LoRa gateway firmware that receives SX1278 packets and prints JSON lines for the Pi adapter</x:v>
      </x:c>
      <x:c r="D15" s="17" t="str">
        <x:v>Done</x:v>
      </x:c>
      <x:c r="E15" s="17" t="str">
        <x:v>Codex</x:v>
      </x:c>
      <x:c r="F15" s="17" t="str">
        <x:v>2026-05-13</x:v>
      </x:c>
      <x:c r="G15" s="17" t="str">
        <x:v>firmware/esp32-lora-gateway; parser smoke test ignores gateway status and accepts packets</x:v>
      </x:c>
      <x:c r="H15" s="17" t="str">
        <x:v>Add automated tests for LoRa parser/store APIs</x:v>
      </x:c>
    </x:row>
    <x:row r="16">
      <x:c r="A16" s="17" t="str">
        <x:v>P016</x:v>
      </x:c>
      <x:c r="B16" s="17" t="str">
        <x:v>Tests</x:v>
      </x:c>
      <x:c r="C16" s="17" t="str">
        <x:v>Add automated LoRa parser/store/simulator tests and runner</x:v>
      </x:c>
      <x:c r="D16" s="17" t="str">
        <x:v>Done</x:v>
      </x:c>
      <x:c r="E16" s="17" t="str">
        <x:v>Codex</x:v>
      </x:c>
      <x:c r="F16" s="17" t="str">
        <x:v>2026-05-13</x:v>
      </x:c>
      <x:c r="G16" s="17" t="str">
        <x:v>./scripts/run_raspi_tests.sh ran 4 tests OK</x:v>
      </x:c>
      <x:c r="H16" s="17" t="str">
        <x:v>Implement camera recording on chainsaw event</x:v>
      </x:c>
    </x:row>
    <x:row r="17">
      <x:c r="A17" s="17" t="str">
        <x:v>P017</x:v>
      </x:c>
      <x:c r="B17" s="17" t="str">
        <x:v>Recording</x:v>
      </x:c>
      <x:c r="C17" s="17" t="str">
        <x:v>Add chainsaw event snapshot recorder and recordings API</x:v>
      </x:c>
      <x:c r="D17" s="17" t="str">
        <x:v>Done</x:v>
      </x:c>
      <x:c r="E17" s="17" t="str">
        <x:v>Codex</x:v>
      </x:c>
      <x:c r="F17" s="17" t="str">
        <x:v>2026-05-13</x:v>
      </x:c>
      <x:c r="G17" s="17" t="str">
        <x:v>./scripts/run_raspi_tests.sh ran 5 tests OK; /api/recordings added</x:v>
      </x:c>
      <x:c r="H17" s="17" t="str">
        <x:v>Add dashboard recording list</x:v>
      </x:c>
    </x:row>
    <x:row r="18">
      <x:c r="A18" s="17" t="str">
        <x:v>P018</x:v>
      </x:c>
      <x:c r="B18" s="17" t="str">
        <x:v>Dashboard</x:v>
      </x:c>
      <x:c r="C18" s="17" t="str">
        <x:v>Add recent recordings panel to dashboard and serve recording snapshots through /media</x:v>
      </x:c>
      <x:c r="D18" s="17" t="str">
        <x:v>Done</x:v>
      </x:c>
      <x:c r="E18" s="17" t="str">
        <x:v>Codex</x:v>
      </x:c>
      <x:c r="F18" s="17" t="str">
        <x:v>2026-05-13</x:v>
      </x:c>
      <x:c r="G18" s="17" t="str">
        <x:v>/ returned 200; /api/recordings returned JSON; tests passed</x:v>
      </x:c>
      <x:c r="H18" s="17" t="str">
        <x:v>Add CI workflow</x:v>
      </x:c>
    </x:row>
    <x:row r="19">
      <x:c r="A19" s="17" t="str">
        <x:v>P019</x:v>
      </x:c>
      <x:c r="B19" s="17" t="str">
        <x:v>CI/CD</x:v>
      </x:c>
      <x:c r="C19" s="17" t="str">
        <x:v>Add GitHub Actions workflow for Raspberry Pi app tests and ESP32 firmware builds</x:v>
      </x:c>
      <x:c r="D19" s="17" t="str">
        <x:v>Done</x:v>
      </x:c>
      <x:c r="E19" s="17" t="str">
        <x:v>Codex</x:v>
      </x:c>
      <x:c r="F19" s="17" t="str">
        <x:v>2026-05-13</x:v>
      </x:c>
      <x:c r="G19" s="17" t="str">
        <x:v>.github/workflows/ci.yml; local Python tests passed; PlatformIO not installed locally</x:v>
      </x:c>
      <x:c r="H19" s="17" t="str">
        <x:v>Add deployment/systemd scripts</x:v>
      </x:c>
    </x:row>
    <x:row r="20">
      <x:c r="A20" s="17" t="str">
        <x:v>P020</x:v>
      </x:c>
      <x:c r="B20" s="17" t="str">
        <x:v>Deployment</x:v>
      </x:c>
      <x:c r="C20" s="17" t="str">
        <x:v>Add systemd install/stop scripts for LoRa serial gateway bridge</x:v>
      </x:c>
      <x:c r="D20" s="17" t="str">
        <x:v>Done</x:v>
      </x:c>
      <x:c r="E20" s="17" t="str">
        <x:v>Codex</x:v>
      </x:c>
      <x:c r="F20" s="17" t="str">
        <x:v>2026-05-13</x:v>
      </x:c>
      <x:c r="G20" s="17" t="str">
        <x:v>bash -n service scripts; README updated</x:v>
      </x:c>
      <x:c r="H20" s="17" t="str">
        <x:v>Add API smoke-test script</x:v>
      </x:c>
    </x:row>
    <x:row r="21">
      <x:c r="A21" s="17" t="str">
        <x:v>P021</x:v>
      </x:c>
      <x:c r="B21" s="17" t="str">
        <x:v>Testing</x:v>
      </x:c>
      <x:c r="C21" s="17" t="str">
        <x:v>Add simulation smoke test that boots dashboard and verifies APIs</x:v>
      </x:c>
      <x:c r="D21" s="17" t="str">
        <x:v>Done</x:v>
      </x:c>
      <x:c r="E21" s="17" t="str">
        <x:v>Codex</x:v>
      </x:c>
      <x:c r="F21" s="17" t="str">
        <x:v>2026-05-13</x:v>
      </x:c>
      <x:c r="G21" s="17" t="str">
        <x:v>./scripts/smoke_test_main_simulation.py passed; added to CI</x:v>
      </x:c>
      <x:c r="H21" s="17" t="str">
        <x:v>Add field deployment checklist/docs</x:v>
      </x:c>
    </x:row>
    <x:row r="22">
      <x:c r="A22" s="17" t="str">
        <x:v>P022</x:v>
      </x:c>
      <x:c r="B22" s="17" t="str">
        <x:v>Deployment</x:v>
      </x:c>
      <x:c r="C22" s="17" t="str">
        <x:v>Add field deployment checklist for bench, main node, remote nodes, LoRa, cameras, alerts, shutdown</x:v>
      </x:c>
      <x:c r="D22" s="17" t="str">
        <x:v>Done</x:v>
      </x:c>
      <x:c r="E22" s="17" t="str">
        <x:v>Codex</x:v>
      </x:c>
      <x:c r="F22" s="17" t="str">
        <x:v>2026-05-13</x:v>
      </x:c>
      <x:c r="G22" s="17" t="str">
        <x:v>docs/deployment/field_deployment_checklist.md</x:v>
      </x:c>
      <x:c r="H22" s="17" t="str">
        <x:v>Add hardware wiring reference</x:v>
      </x:c>
    </x:row>
    <x:row r="23">
      <x:c r="A23" s="17" t="str">
        <x:v>P023</x:v>
      </x:c>
      <x:c r="B23" s="17" t="str">
        <x:v>Hardware</x:v>
      </x:c>
      <x:c r="C23" s="17" t="str">
        <x:v>Add wiring reference aligned to ESP32 sender and gateway firmware defaults</x:v>
      </x:c>
      <x:c r="D23" s="17" t="str">
        <x:v>Done</x:v>
      </x:c>
      <x:c r="E23" s="17" t="str">
        <x:v>Codex</x:v>
      </x:c>
      <x:c r="F23" s="17" t="str">
        <x:v>2026-05-13</x:v>
      </x:c>
      <x:c r="G23" s="17" t="str">
        <x:v>docs/hardware/wiring_reference.md</x:v>
      </x:c>
      <x:c r="H23" s="17" t="str">
        <x:v>Add README links to new docs</x:v>
      </x:c>
    </x:row>
    <x:row r="24">
      <x:c r="A24" s="17" t="str">
        <x:v>P024</x:v>
      </x:c>
      <x:c r="B24" s="17" t="str">
        <x:v>Documentation</x:v>
      </x:c>
      <x:c r="C24" s="17" t="str">
        <x:v>Update top-level README with fast start and links to workbook, simulation, deployment, hardware, firmware docs</x:v>
      </x:c>
      <x:c r="D24" s="17" t="str">
        <x:v>Done</x:v>
      </x:c>
      <x:c r="E24" s="17" t="str">
        <x:v>Codex</x:v>
      </x:c>
      <x:c r="F24" s="17" t="str">
        <x:v>2026-05-13</x:v>
      </x:c>
      <x:c r="G24" s="17" t="str">
        <x:v>README.md</x:v>
      </x:c>
      <x:c r="H24" s="17" t="str">
        <x:v>Add release/package script</x:v>
      </x:c>
    </x:row>
    <x:row r="25">
      <x:c r="A25" s="17" t="str">
        <x:v>P025</x:v>
      </x:c>
      <x:c r="B25" s="17" t="str">
        <x:v>Release</x:v>
      </x:c>
      <x:c r="C25" s="17" t="str">
        <x:v>Add Git archive release packaging script</x:v>
      </x:c>
      <x:c r="D25" s="17" t="str">
        <x:v>Done</x:v>
      </x:c>
      <x:c r="E25" s="17" t="str">
        <x:v>Codex</x:v>
      </x:c>
      <x:c r="F25" s="17" t="str">
        <x:v>2026-05-13</x:v>
      </x:c>
      <x:c r="G25" s="17" t="str">
        <x:v>./scripts/package_release.sh created dist/adm-firenode-b658810-20260514-140648.zip</x:v>
      </x:c>
      <x:c r="H25" s="17" t="str">
        <x:v>Add packet schema documentation</x:v>
      </x:c>
    </x:row>
    <x:row r="26">
      <x:c r="A26" s="17" t="str">
        <x:v>P026</x:v>
      </x:c>
      <x:c r="B26" s="17" t="str">
        <x:v>Documentation</x:v>
      </x:c>
      <x:c r="C26" s="17" t="str">
        <x:v>Add LoRa packet and API schema contract</x:v>
      </x:c>
      <x:c r="D26" s="17" t="str">
        <x:v>Done</x:v>
      </x:c>
      <x:c r="E26" s="17" t="str">
        <x:v>Codex</x:v>
      </x:c>
      <x:c r="F26" s="17" t="str">
        <x:v>2026-05-13</x:v>
      </x:c>
      <x:c r="G26" s="17" t="str">
        <x:v>docs/api/lora_packet_schema.md; README.md</x:v>
      </x:c>
      <x:c r="H26" s="17" t="str">
        <x:v>Run full local verification and prepare GitHub push when remote is available</x:v>
      </x:c>
    </x:row>
    <x:row r="27">
      <x:c r="A27" s="17" t="str">
        <x:v>P027</x:v>
      </x:c>
      <x:c r="B27" s="17" t="str">
        <x:v>Verification</x:v>
      </x:c>
      <x:c r="C27" s="17" t="str">
        <x:v>Run full local verification after simulation/LoRa/recording/docs work</x:v>
      </x:c>
      <x:c r="D27" s="17" t="str">
        <x:v>Done</x:v>
      </x:c>
      <x:c r="E27" s="17" t="str">
        <x:v>Codex</x:v>
      </x:c>
      <x:c r="F27" s="17" t="str">
        <x:v>2026-05-13</x:v>
      </x:c>
      <x:c r="G27" s="17" t="str">
        <x:v>Unit tests OK; smoke test OK; compileall OK; release zip created; git clean</x:v>
      </x:c>
      <x:c r="H27" s="17" t="str">
        <x:v>Push to GitHub</x:v>
      </x:c>
    </x:row>
    <x:row r="28">
      <x:c r="A28" s="17" t="str">
        <x:v>P007</x:v>
      </x:c>
      <x:c r="B28" s="17" t="str">
        <x:v>GitHub</x:v>
      </x:c>
      <x:c r="C28" s="17" t="str">
        <x:v>Create/provide GitHub repo and branch and push project snapshot</x:v>
      </x:c>
      <x:c r="D28" s="17" t="str">
        <x:v>Done</x:v>
      </x:c>
      <x:c r="E28" s="17" t="str">
        <x:v>User/Codex</x:v>
      </x:c>
      <x:c r="F28" s="17" t="str">
        <x:v>2026-05-13</x:v>
      </x:c>
      <x:c r="G28" s="17" t="str">
        <x:v>https://github.com/pagibetech/adm-firenode-forest-monitoring commit 05e1a77</x:v>
      </x:c>
      <x:c r="H28" s="17" t="str">
        <x:v>Enable workflow scope later to push CI file</x:v>
      </x:c>
    </x:row>
    <x:row r="29">
      <x:c r="A29" s="17" t="str">
        <x:v>P008</x:v>
      </x:c>
      <x:c r="B29" s="17" t="str">
        <x:v>LoRa Gateway</x:v>
      </x:c>
      <x:c r="C29" s="17" t="str">
        <x:v>Add main RPi LoRa receiver service</x:v>
      </x:c>
      <x:c r="D29" s="17" t="str">
        <x:v>Not Started</x:v>
      </x:c>
      <x:c r="E29" s="17" t="str">
        <x:v>Codex/User</x:v>
      </x:c>
      <x:c r="F29" s="17" t="str"/>
      <x:c r="G29" s="17" t="str"/>
      <x:c r="H29" s="17" t="str">
        <x:v>Use simulator packet contract as receiver API target</x:v>
      </x:c>
    </x:row>
    <x:row r="30">
      <x:c r="A30" s="17" t="str">
        <x:v>P009</x:v>
      </x:c>
      <x:c r="B30" s="17" t="str">
        <x:v>Recording</x:v>
      </x:c>
      <x:c r="C30" s="17" t="str">
        <x:v>Add camera recording on chainsaw detection</x:v>
      </x:c>
      <x:c r="D30" s="17" t="str">
        <x:v>Not Started</x:v>
      </x:c>
      <x:c r="E30" s="17" t="str">
        <x:v>Codex</x:v>
      </x:c>
      <x:c r="F30" s="17" t="str"/>
      <x:c r="G30" s="17" t="str"/>
      <x:c r="H30" s="17" t="str">
        <x:v>Implement after simulation camera feeds are stable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Issue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Risks, blockers, defects, and open questions.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Issue ID</x:v>
      </x:c>
      <x:c r="B4" s="16" t="str">
        <x:v>Type</x:v>
      </x:c>
      <x:c r="C4" s="16" t="str">
        <x:v>Description</x:v>
      </x:c>
      <x:c r="D4" s="16" t="str">
        <x:v>Impact</x:v>
      </x:c>
      <x:c r="E4" s="16" t="str">
        <x:v>Owner</x:v>
      </x:c>
      <x:c r="F4" s="16" t="str">
        <x:v>Status</x:v>
      </x:c>
      <x:c r="G4" s="16" t="str">
        <x:v>Resolution / Next Step</x:v>
      </x:c>
    </x:row>
    <x:row r="5">
      <x:c r="A5" s="17" t="str">
        <x:v>I001</x:v>
      </x:c>
      <x:c r="B5" s="17" t="str">
        <x:v>GitHub Blocker</x:v>
      </x:c>
      <x:c r="C5" s="17" t="str">
        <x:v>Local Git repo existed without target remote/branch</x:v>
      </x:c>
      <x:c r="D5" s="17" t="str">
        <x:v>Cannot push workbook/code to GitHub yet</x:v>
      </x:c>
      <x:c r="E5" s="17" t="str">
        <x:v>User/Codex</x:v>
      </x:c>
      <x:c r="F5" s="17" t="str">
        <x:v>Resolved</x:v>
      </x:c>
      <x:c r="G5" s="17" t="str">
        <x:v>GitHub repo created and baseline pushed to main at commit 05e1a77.</x:v>
      </x:c>
    </x:row>
    <x:row r="6">
      <x:c r="A6" s="17" t="str">
        <x:v>I007</x:v>
      </x:c>
      <x:c r="B6" s="17" t="str">
        <x:v>GitHub Workflow Scope</x:v>
      </x:c>
      <x:c r="C6" s="17" t="str">
        <x:v>HTTPS credential can push code but cannot create/update .github/workflows/ci.yml without workflow scope</x:v>
      </x:c>
      <x:c r="D6" s="17" t="str">
        <x:v>CI workflow is preserved locally but not yet on GitHub</x:v>
      </x:c>
      <x:c r="E6" s="17" t="str">
        <x:v>User/Codex</x:v>
      </x:c>
      <x:c r="F6" s="17" t="str">
        <x:v>Open</x:v>
      </x:c>
      <x:c r="G6" s="17" t="str">
        <x:v>Enable workflow scope or install GitHub app permissions, then push .github/workflows/ci.yml.</x:v>
      </x:c>
    </x:row>
    <x:row r="7">
      <x:c r="A7" s="17" t="str">
        <x:v>I002</x:v>
      </x:c>
      <x:c r="B7" s="17" t="str">
        <x:v>Architecture Conflict</x:v>
      </x:c>
      <x:c r="C7" s="17" t="str">
        <x:v>Older diagram/meeting slide listed 4 thermal cameras, but latest instruction says only one thermal camera on main</x:v>
      </x:c>
      <x:c r="D7" s="17" t="str">
        <x:v>Could cause BOM/design mismatch</x:v>
      </x:c>
      <x:c r="E7" s="17" t="str">
        <x:v>Codex</x:v>
      </x:c>
      <x:c r="F7" s="17" t="str">
        <x:v>Resolved</x:v>
      </x:c>
      <x:c r="G7" s="17" t="str">
        <x:v>Workbook uses latest instruction as controlling requirement.</x:v>
      </x:c>
    </x:row>
    <x:row r="8">
      <x:c r="A8" s="17" t="str">
        <x:v>I003</x:v>
      </x:c>
      <x:c r="B8" s="17" t="str">
        <x:v>Protocol Gap</x:v>
      </x:c>
      <x:c r="C8" s="17" t="str">
        <x:v>Current RPi ZIPs poll ESP32 over Wi-Fi and do not implement real LoRa gateway receive path</x:v>
      </x:c>
      <x:c r="D8" s="17" t="str">
        <x:v>LoRa validation cannot pass yet</x:v>
      </x:c>
      <x:c r="E8" s="17" t="str">
        <x:v>Codex</x:v>
      </x:c>
      <x:c r="F8" s="17" t="str">
        <x:v>Open</x:v>
      </x:c>
      <x:c r="G8" s="17" t="str">
        <x:v>Add LoRa receiver and packet store.</x:v>
      </x:c>
    </x:row>
    <x:row r="9">
      <x:c r="A9" s="17" t="str">
        <x:v>I004</x:v>
      </x:c>
      <x:c r="B9" s="17" t="str">
        <x:v>Power Detail</x:v>
      </x:c>
      <x:c r="C9" s="17" t="str">
        <x:v>12V 40A was specified, but battery chemistry/capacity in Ah not confirmed</x:v>
      </x:c>
      <x:c r="D9" s="17" t="str">
        <x:v>Runtime and low-voltage thresholds uncertain</x:v>
      </x:c>
      <x:c r="E9" s="17" t="str">
        <x:v>User</x:v>
      </x:c>
      <x:c r="F9" s="17" t="str">
        <x:v>Open</x:v>
      </x:c>
      <x:c r="G9" s="17" t="str">
        <x:v>Confirm battery chemistry and Ah rating.</x:v>
      </x:c>
    </x:row>
    <x:row r="10">
      <x:c r="A10" s="17" t="str">
        <x:v>I005</x:v>
      </x:c>
      <x:c r="B10" s="17" t="str">
        <x:v>Field Audio</x:v>
      </x:c>
      <x:c r="C10" s="17" t="str">
        <x:v>No real chainsaw/forest dataset confirmed</x:v>
      </x:c>
      <x:c r="D10" s="17" t="str">
        <x:v>ML classifier cannot be validated yet</x:v>
      </x:c>
      <x:c r="E10" s="17" t="str">
        <x:v>User/Codex</x:v>
      </x:c>
      <x:c r="F10" s="17" t="str">
        <x:v>Open</x:v>
      </x:c>
      <x:c r="G10" s="17" t="str">
        <x:v>Start with existing detector and collect field clips.</x:v>
      </x:c>
    </x:row>
    <x:row r="11">
      <x:c r="A11" s="17" t="str">
        <x:v>I006</x:v>
      </x:c>
      <x:c r="B11" s="17" t="str">
        <x:v>Simulation Gap</x:v>
      </x:c>
      <x:c r="C11" s="17" t="str">
        <x:v>Local main camera reported cv2 missing in the macOS venv while remote node camera simulation worked</x:v>
      </x:c>
      <x:c r="D11" s="17" t="str">
        <x:v>Camera-grid test was not complete until local fallback feed worked without hardware</x:v>
      </x:c>
      <x:c r="E11" s="17" t="str">
        <x:v>Codex</x:v>
      </x:c>
      <x:c r="F11" s="17" t="str">
        <x:v>Resolved</x:v>
      </x:c>
      <x:c r="G11" s="17" t="str">
        <x:v>Added PIL-based local camera fallback for simulation mode; live mode still uses OpenCV on Raspberry Pi.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Decision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Approved decisions and evidence.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Decision ID</x:v>
      </x:c>
      <x:c r="B4" s="16" t="str">
        <x:v>Date</x:v>
      </x:c>
      <x:c r="C4" s="16" t="str">
        <x:v>Decision</x:v>
      </x:c>
      <x:c r="D4" s="16" t="str">
        <x:v>Rationale</x:v>
      </x:c>
      <x:c r="E4" s="16" t="str">
        <x:v>Evidence</x:v>
      </x:c>
      <x:c r="F4" s="16" t="str">
        <x:v>Impact</x:v>
      </x:c>
    </x:row>
    <x:row r="5">
      <x:c r="A5" s="17" t="str">
        <x:v>D001</x:v>
      </x:c>
      <x:c r="B5" s="17" t="str">
        <x:v>2026-05-13</x:v>
      </x:c>
      <x:c r="C5" s="17" t="str">
        <x:v>Main server is physically installed on the center/backup field node</x:v>
      </x:c>
      <x:c r="D5" s="17" t="str">
        <x:v>User clarified placement</x:v>
      </x:c>
      <x:c r="E5" s="17" t="str">
        <x:v>User answer #1</x:v>
      </x:c>
      <x:c r="F5" s="17" t="str">
        <x:v>Center node combines receiver/dashboard/thermal.</x:v>
      </x:c>
    </x:row>
    <x:row r="6">
      <x:c r="A6" s="17" t="str">
        <x:v>D002</x:v>
      </x:c>
      <x:c r="B6" s="17" t="str">
        <x:v>2026-05-13</x:v>
      </x:c>
      <x:c r="C6" s="17" t="str">
        <x:v>Remote nodes are Raspberry Pi + ESP32 nodes</x:v>
      </x:c>
      <x:c r="D6" s="17" t="str">
        <x:v>Chainsaw/audio processing needs RPi</x:v>
      </x:c>
      <x:c r="E6" s="17" t="str">
        <x:v>User answer #2</x:v>
      </x:c>
      <x:c r="F6" s="17" t="str">
        <x:v>Node BOM includes RPi and ESP32.</x:v>
      </x:c>
    </x:row>
    <x:row r="7">
      <x:c r="A7" s="17" t="str">
        <x:v>D003</x:v>
      </x:c>
      <x:c r="B7" s="17" t="str">
        <x:v>2026-05-13</x:v>
      </x:c>
      <x:c r="C7" s="17" t="str">
        <x:v>Use existing RPi chainsaw detector as baseline and improve it</x:v>
      </x:c>
      <x:c r="D7" s="17" t="str">
        <x:v>Current code already works</x:v>
      </x:c>
      <x:c r="E7" s="17" t="str">
        <x:v>User answer #3 and detector.py</x:v>
      </x:c>
      <x:c r="F7" s="17" t="str">
        <x:v>No ESP32-only audio model for baseline.</x:v>
      </x:c>
    </x:row>
    <x:row r="8">
      <x:c r="A8" s="17" t="str">
        <x:v>D004</x:v>
      </x:c>
      <x:c r="B8" s="17" t="str">
        <x:v>2026-05-13</x:v>
      </x:c>
      <x:c r="C8" s="17" t="str">
        <x:v>Every node and main server has a daytime camera</x:v>
      </x:c>
      <x:c r="D8" s="17" t="str">
        <x:v>User clarified final camera coverage</x:v>
      </x:c>
      <x:c r="E8" s="17" t="str">
        <x:v>User answer #4</x:v>
      </x:c>
      <x:c r="F8" s="17" t="str">
        <x:v>Dashboard must show all feeds.</x:v>
      </x:c>
    </x:row>
    <x:row r="9">
      <x:c r="A9" s="17" t="str">
        <x:v>D005</x:v>
      </x:c>
      <x:c r="B9" s="17" t="str">
        <x:v>2026-05-13</x:v>
      </x:c>
      <x:c r="C9" s="17" t="str">
        <x:v>Every node/main server has a 12V battery system</x:v>
      </x:c>
      <x:c r="D9" s="17" t="str">
        <x:v>User clarified power</x:v>
      </x:c>
      <x:c r="E9" s="17" t="str">
        <x:v>User answer #5</x:v>
      </x:c>
      <x:c r="F9" s="17" t="str">
        <x:v>Power design includes buck converters and voltage telemetry.</x:v>
      </x:c>
    </x:row>
    <x:row r="10">
      <x:c r="A10" s="17" t="str">
        <x:v>D006</x:v>
      </x:c>
      <x:c r="B10" s="17" t="str">
        <x:v>2026-05-13</x:v>
      </x:c>
      <x:c r="C10" s="17" t="str">
        <x:v>LoRa for sensors, Wi-Fi for camera/dashboard</x:v>
      </x:c>
      <x:c r="D10" s="17" t="str">
        <x:v>Meeting and PDF align</x:v>
      </x:c>
      <x:c r="E10" s="17" t="str">
        <x:v>Zoom transcript</x:v>
      </x:c>
      <x:c r="F10" s="17" t="str">
        <x:v>Hybrid design.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Risk Register</x:v>
      </x:c>
      <x:c r="B1" s="4"/>
      <x:c r="C1" s="4"/>
      <x:c r="D1" s="4"/>
      <x:c r="E1" s="4"/>
      <x:c r="F1" s="4"/>
      <x:c r="G1" s="4"/>
      <x:c r="H1" s="4"/>
    </x:row>
    <x:row r="2">
      <x:c r="A2" s="6" t="str">
        <x:v>Implementation risks and mitigations.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Risk</x:v>
      </x:c>
      <x:c r="B4" s="16" t="str">
        <x:v>Category</x:v>
      </x:c>
      <x:c r="C4" s="16" t="str">
        <x:v>Likelihood</x:v>
      </x:c>
      <x:c r="D4" s="16" t="str">
        <x:v>Impact</x:v>
      </x:c>
      <x:c r="E4" s="16" t="str">
        <x:v>Mitigation</x:v>
      </x:c>
      <x:c r="F4" s="16" t="str">
        <x:v>Owner</x:v>
      </x:c>
      <x:c r="G4" s="16" t="str">
        <x:v>Status</x:v>
      </x:c>
    </x:row>
    <x:row r="5">
      <x:c r="A5" s="17" t="str">
        <x:v>LoRa packet loss in forest line-of-sight conditions</x:v>
      </x:c>
      <x:c r="B5" s="17" t="str">
        <x:v>Networking</x:v>
      </x:c>
      <x:c r="C5" s="17" t="str">
        <x:v>Medium</x:v>
      </x:c>
      <x:c r="D5" s="17" t="str">
        <x:v>High</x:v>
      </x:c>
      <x:c r="E5" s="17" t="str">
        <x:v>Use RSSI/SNR logging, retries, ACKs, antenna placement, PDR test</x:v>
      </x:c>
      <x:c r="F5" s="17" t="str">
        <x:v>Codex/User</x:v>
      </x:c>
      <x:c r="G5" s="17" t="str">
        <x:v>Open</x:v>
      </x:c>
    </x:row>
    <x:row r="6">
      <x:c r="A6" s="17" t="str">
        <x:v>Wi-Fi camera streams overload field router</x:v>
      </x:c>
      <x:c r="B6" s="17" t="str">
        <x:v>Networking</x:v>
      </x:c>
      <x:c r="C6" s="17" t="str">
        <x:v>Medium</x:v>
      </x:c>
      <x:c r="D6" s="17" t="str">
        <x:v>Medium</x:v>
      </x:c>
      <x:c r="E6" s="17" t="str">
        <x:v>Limit FPS/resolution, use camera grid lazy loading, local AP placement</x:v>
      </x:c>
      <x:c r="F6" s="17" t="str">
        <x:v>Codex/User</x:v>
      </x:c>
      <x:c r="G6" s="17" t="str">
        <x:v>Open</x:v>
      </x:c>
    </x:row>
    <x:row r="7">
      <x:c r="A7" s="17" t="str">
        <x:v>False chainsaw positives from engines/wind/rain</x:v>
      </x:c>
      <x:c r="B7" s="17" t="str">
        <x:v>AI/Audio</x:v>
      </x:c>
      <x:c r="C7" s="17" t="str">
        <x:v>Medium</x:v>
      </x:c>
      <x:c r="D7" s="17" t="str">
        <x:v>Medium</x:v>
      </x:c>
      <x:c r="E7" s="17" t="str">
        <x:v>Calibrate detector, collect field clips, add confidence smoothing</x:v>
      </x:c>
      <x:c r="F7" s="17" t="str">
        <x:v>Codex/User</x:v>
      </x:c>
      <x:c r="G7" s="17" t="str">
        <x:v>Open</x:v>
      </x:c>
    </x:row>
    <x:row r="8">
      <x:c r="A8" s="17" t="str">
        <x:v>MQ2 drift and high heater power</x:v>
      </x:c>
      <x:c r="B8" s="17" t="str">
        <x:v>Sensor</x:v>
      </x:c>
      <x:c r="C8" s="17" t="str">
        <x:v>High</x:v>
      </x:c>
      <x:c r="D8" s="17" t="str">
        <x:v>Medium</x:v>
      </x:c>
      <x:c r="E8" s="17" t="str">
        <x:v>Warm-up/calibration, analog reading, threshold tuning, power budget</x:v>
      </x:c>
      <x:c r="F8" s="17" t="str">
        <x:v>User</x:v>
      </x:c>
      <x:c r="G8" s="17" t="str">
        <x:v>Open</x:v>
      </x:c>
    </x:row>
    <x:row r="9">
      <x:c r="A9" s="17" t="str">
        <x:v>Battery brownout resets RPi</x:v>
      </x:c>
      <x:c r="B9" s="17" t="str">
        <x:v>Power</x:v>
      </x:c>
      <x:c r="C9" s="17" t="str">
        <x:v>Medium</x:v>
      </x:c>
      <x:c r="D9" s="17" t="str">
        <x:v>High</x:v>
      </x:c>
      <x:c r="E9" s="17" t="str">
        <x:v>Use 5V 5A buck, fuse, low-voltage cutoff, voltage telemetry</x:v>
      </x:c>
      <x:c r="F9" s="17" t="str">
        <x:v>User</x:v>
      </x:c>
      <x:c r="G9" s="17" t="str">
        <x:v>Open</x:v>
      </x:c>
    </x:row>
    <x:row r="10">
      <x:c r="A10" s="17" t="str">
        <x:v>Water ingress in field enclosure</x:v>
      </x:c>
      <x:c r="B10" s="17" t="str">
        <x:v>Mechanical</x:v>
      </x:c>
      <x:c r="C10" s="17" t="str">
        <x:v>Medium</x:v>
      </x:c>
      <x:c r="D10" s="17" t="str">
        <x:v>High</x:v>
      </x:c>
      <x:c r="E10" s="17" t="str">
        <x:v>IP-rated enclosure, cable glands, desiccant, drip loops</x:v>
      </x:c>
      <x:c r="F10" s="17" t="str">
        <x:v>User</x:v>
      </x:c>
      <x:c r="G10" s="17" t="str">
        <x:v>Open</x:v>
      </x:c>
    </x:row>
    <x:row r="11">
      <x:c r="A11" s="17" t="str">
        <x:v>Thermal FOV misses event because only one camera</x:v>
      </x:c>
      <x:c r="B11" s="17" t="str">
        <x:v>Thermal</x:v>
      </x:c>
      <x:c r="C11" s="17" t="str">
        <x:v>Medium</x:v>
      </x:c>
      <x:c r="D11" s="17" t="str">
        <x:v>Medium</x:v>
      </x:c>
      <x:c r="E11" s="17" t="str">
        <x:v>Place center node strategically; use normal cameras and sensor alerts for coverage</x:v>
      </x:c>
      <x:c r="F11" s="17" t="str">
        <x:v>User</x:v>
      </x:c>
      <x:c r="G11" s="17" t="str">
        <x:v>Accepted</x:v>
      </x:c>
    </x:row>
    <x:row r="12">
      <x:c r="A12" s="17" t="str">
        <x:v>No GitHub remote delays off-machine backup</x:v>
      </x:c>
      <x:c r="B12" s="17" t="str">
        <x:v>Process</x:v>
      </x:c>
      <x:c r="C12" s="17" t="str">
        <x:v>High</x:v>
      </x:c>
      <x:c r="D12" s="17" t="str">
        <x:v>High</x:v>
      </x:c>
      <x:c r="E12" s="17" t="str">
        <x:v>Repo created and project baseline pushed</x:v>
      </x:c>
      <x:c r="F12" s="17" t="str">
        <x:v>User/Codex</x:v>
      </x:c>
      <x:c r="G12" s="17" t="str">
        <x:v>Resolved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System Diagram</x:v>
      </x:c>
      <x:c r="B1" s="4"/>
      <x:c r="C1" s="4"/>
      <x:c r="D1" s="4"/>
      <x:c r="E1" s="4"/>
      <x:c r="F1" s="4"/>
      <x:c r="G1" s="4"/>
      <x:c r="H1" s="4"/>
    </x:row>
    <x:row r="2">
      <x:c r="A2" s="6" t="str">
        <x:v>Text workbook equivalent of the architecture diagram.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Node</x:v>
      </x:c>
      <x:c r="B4" s="16" t="str">
        <x:v>Role</x:v>
      </x:c>
      <x:c r="C4" s="16" t="str">
        <x:v>Hardware</x:v>
      </x:c>
      <x:c r="D4" s="16" t="str">
        <x:v>LoRa Link</x:v>
      </x:c>
      <x:c r="E4" s="16" t="str">
        <x:v>Wi-Fi Link</x:v>
      </x:c>
      <x:c r="F4" s="16" t="str">
        <x:v>Camera</x:v>
      </x:c>
      <x:c r="G4" s="16" t="str">
        <x:v>Thermal</x:v>
      </x:c>
      <x:c r="H4" s="16" t="str">
        <x:v>Notes</x:v>
      </x:c>
    </x:row>
    <x:row r="5">
      <x:c r="A5" s="17" t="str">
        <x:v>node-main-center</x:v>
      </x:c>
      <x:c r="B5" s="17" t="str">
        <x:v>Main server + backup/center node</x:v>
      </x:c>
      <x:c r="C5" s="17" t="str">
        <x:v>RPi + ESP32 + LoRa gateway + sensors + mic + siren relay</x:v>
      </x:c>
      <x:c r="D5" s="17" t="str">
        <x:v>Receives telemetry from all nodes; may send ACK</x:v>
      </x:c>
      <x:c r="E5" s="17" t="str">
        <x:v>Hosts dashboard/AP/router connection</x:v>
      </x:c>
      <x:c r="F5" s="17" t="str">
        <x:v>Daytime camera</x:v>
      </x:c>
      <x:c r="G5" s="17" t="str">
        <x:v>MLX90640 only here</x:v>
      </x:c>
      <x:c r="H5" s="17" t="str">
        <x:v>Physically installed in field center.</x:v>
      </x:c>
    </x:row>
    <x:row r="6">
      <x:c r="A6" s="17" t="str">
        <x:v>node-01</x:v>
      </x:c>
      <x:c r="B6" s="17" t="str">
        <x:v>Remote sensor/camera node</x:v>
      </x:c>
      <x:c r="C6" s="17" t="str">
        <x:v>RPi + ESP32 + LoRa + DHT/MQ2/mic</x:v>
      </x:c>
      <x:c r="D6" s="17" t="str">
        <x:v>Sends telemetry/alerts</x:v>
      </x:c>
      <x:c r="E6" s="17" t="str">
        <x:v>Streams camera to main</x:v>
      </x:c>
      <x:c r="F6" s="17" t="str">
        <x:v>Daytime camera</x:v>
      </x:c>
      <x:c r="G6" s="17" t="str">
        <x:v>None</x:v>
      </x:c>
      <x:c r="H6" s="17" t="str">
        <x:v>RPi runs chainsaw detector.</x:v>
      </x:c>
    </x:row>
    <x:row r="7">
      <x:c r="A7" s="17" t="str">
        <x:v>node-02</x:v>
      </x:c>
      <x:c r="B7" s="17" t="str">
        <x:v>Remote sensor/camera node</x:v>
      </x:c>
      <x:c r="C7" s="17" t="str">
        <x:v>RPi + ESP32 + LoRa + DHT/MQ2/mic</x:v>
      </x:c>
      <x:c r="D7" s="17" t="str">
        <x:v>Sends telemetry/alerts</x:v>
      </x:c>
      <x:c r="E7" s="17" t="str">
        <x:v>Streams camera to main</x:v>
      </x:c>
      <x:c r="F7" s="17" t="str">
        <x:v>Daytime camera</x:v>
      </x:c>
      <x:c r="G7" s="17" t="str">
        <x:v>None</x:v>
      </x:c>
      <x:c r="H7" s="17" t="str">
        <x:v>RPi runs chainsaw detector.</x:v>
      </x:c>
    </x:row>
    <x:row r="8">
      <x:c r="A8" s="17" t="str">
        <x:v>node-03</x:v>
      </x:c>
      <x:c r="B8" s="17" t="str">
        <x:v>Remote sensor/camera node</x:v>
      </x:c>
      <x:c r="C8" s="17" t="str">
        <x:v>RPi + ESP32 + LoRa + DHT/MQ2/mic</x:v>
      </x:c>
      <x:c r="D8" s="17" t="str">
        <x:v>Sends telemetry/alerts</x:v>
      </x:c>
      <x:c r="E8" s="17" t="str">
        <x:v>Streams camera to main</x:v>
      </x:c>
      <x:c r="F8" s="17" t="str">
        <x:v>Daytime camera</x:v>
      </x:c>
      <x:c r="G8" s="17" t="str">
        <x:v>None</x:v>
      </x:c>
      <x:c r="H8" s="17" t="str">
        <x:v>RPi runs chainsaw detector.</x:v>
      </x:c>
    </x:row>
    <x:row r="9">
      <x:c r="A9" s="17" t="str">
        <x:v>dashboard-client</x:v>
      </x:c>
      <x:c r="B9" s="17" t="str">
        <x:v>Viewer</x:v>
      </x:c>
      <x:c r="C9" s="17" t="str">
        <x:v>Phone/tablet/laptop</x:v>
      </x:c>
      <x:c r="D9" s="17" t="str">
        <x:v>None</x:v>
      </x:c>
      <x:c r="E9" s="17" t="str">
        <x:v>Connects to field Wi-Fi and opens main RPi IP</x:v>
      </x:c>
      <x:c r="F9" s="17" t="str">
        <x:v>Views all feeds</x:v>
      </x:c>
      <x:c r="G9" s="17" t="str">
        <x:v>Views main thermal</x:v>
      </x:c>
      <x:c r="H9" s="17" t="str">
        <x:v>No direct node control required.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Data Flow</x:v>
      </x:c>
      <x:c r="B1" s="4"/>
      <x:c r="C1" s="4"/>
      <x:c r="D1" s="4"/>
      <x:c r="E1" s="4"/>
      <x:c r="F1" s="4"/>
      <x:c r="G1" s="4"/>
      <x:c r="H1" s="4"/>
    </x:row>
    <x:row r="2">
      <x:c r="A2" s="6" t="str">
        <x:v>Operational sequence from sensing to alerting.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Actor</x:v>
      </x:c>
      <x:c r="C4" s="16" t="str">
        <x:v>Input</x:v>
      </x:c>
      <x:c r="D4" s="16" t="str">
        <x:v>Processing</x:v>
      </x:c>
      <x:c r="E4" s="16" t="str">
        <x:v>Output</x:v>
      </x:c>
      <x:c r="F4" s="16" t="str">
        <x:v>Target</x:v>
      </x:c>
      <x:c r="G4" s="16" t="str">
        <x:v>Timing</x:v>
      </x:c>
    </x:row>
    <x:row r="5">
      <x:c r="A5" s="17" t="n">
        <x:v>1</x:v>
      </x:c>
      <x:c r="B5" s="17" t="str">
        <x:v>ESP32</x:v>
      </x:c>
      <x:c r="C5" s="17" t="str">
        <x:v>DHT/MQ2/battery sensors</x:v>
      </x:c>
      <x:c r="D5" s="17" t="str">
        <x:v>Read/filter/average</x:v>
      </x:c>
      <x:c r="E5" s="17" t="str">
        <x:v>Sensor snapshot</x:v>
      </x:c>
      <x:c r="F5" s="17" t="str">
        <x:v>RPi/LoRa packet builder</x:v>
      </x:c>
      <x:c r="G5" s="17" t="str">
        <x:v>Every 2-10 sec local</x:v>
      </x:c>
    </x:row>
    <x:row r="6">
      <x:c r="A6" s="17" t="n">
        <x:v>2</x:v>
      </x:c>
      <x:c r="B6" s="17" t="str">
        <x:v>RPi node</x:v>
      </x:c>
      <x:c r="C6" s="17" t="str">
        <x:v>Microphone audio</x:v>
      </x:c>
      <x:c r="D6" s="17" t="str">
        <x:v>FFT/RMS/mechanical-band chainsaw detection</x:v>
      </x:c>
      <x:c r="E6" s="17" t="str">
        <x:v>chainsaw_score/detected</x:v>
      </x:c>
      <x:c r="F6" s="17" t="str">
        <x:v>Packet builder + local event</x:v>
      </x:c>
      <x:c r="G6" s="17" t="str">
        <x:v>1 sec windows</x:v>
      </x:c>
    </x:row>
    <x:row r="7">
      <x:c r="A7" s="17" t="n">
        <x:v>3</x:v>
      </x:c>
      <x:c r="B7" s="17" t="str">
        <x:v>RPi node</x:v>
      </x:c>
      <x:c r="C7" s="17" t="str">
        <x:v>Camera frame</x:v>
      </x:c>
      <x:c r="D7" s="17" t="str">
        <x:v>MJPEG stream and optional recording</x:v>
      </x:c>
      <x:c r="E7" s="17" t="str">
        <x:v>Video feed/clip</x:v>
      </x:c>
      <x:c r="F7" s="17" t="str">
        <x:v>Main dashboard/media</x:v>
      </x:c>
      <x:c r="G7" s="17" t="str">
        <x:v>8-10 FPS</x:v>
      </x:c>
    </x:row>
    <x:row r="8">
      <x:c r="A8" s="17" t="n">
        <x:v>4</x:v>
      </x:c>
      <x:c r="B8" s="17" t="str">
        <x:v>Node LoRa</x:v>
      </x:c>
      <x:c r="C8" s="17" t="str">
        <x:v>Telemetry JSON/compact packet</x:v>
      </x:c>
      <x:c r="D8" s="17" t="str">
        <x:v>Send with seq</x:v>
      </x:c>
      <x:c r="E8" s="17" t="str">
        <x:v>LoRa packet</x:v>
      </x:c>
      <x:c r="F8" s="17" t="str">
        <x:v>Main gateway</x:v>
      </x:c>
      <x:c r="G8" s="17" t="str">
        <x:v>Every 60 sec or alert immediate</x:v>
      </x:c>
    </x:row>
    <x:row r="9">
      <x:c r="A9" s="17" t="n">
        <x:v>5</x:v>
      </x:c>
      <x:c r="B9" s="17" t="str">
        <x:v>Main LoRa gateway</x:v>
      </x:c>
      <x:c r="C9" s="17" t="str">
        <x:v>LoRa packet</x:v>
      </x:c>
      <x:c r="D9" s="17" t="str">
        <x:v>Validate, timestamp, attach RSSI/SNR</x:v>
      </x:c>
      <x:c r="E9" s="17" t="str">
        <x:v>DB reading/event</x:v>
      </x:c>
      <x:c r="F9" s="17" t="str">
        <x:v>SQLite/API</x:v>
      </x:c>
      <x:c r="G9" s="17" t="str">
        <x:v>On receive</x:v>
      </x:c>
    </x:row>
    <x:row r="10">
      <x:c r="A10" s="17" t="n">
        <x:v>6</x:v>
      </x:c>
      <x:c r="B10" s="17" t="str">
        <x:v>Alert engine</x:v>
      </x:c>
      <x:c r="C10" s="17" t="str">
        <x:v>Readings/events</x:v>
      </x:c>
      <x:c r="D10" s="17" t="str">
        <x:v>Rules for smoke/fire/chainsaw/thermal</x:v>
      </x:c>
      <x:c r="E10" s="17" t="str">
        <x:v>Alert state</x:v>
      </x:c>
      <x:c r="F10" s="17" t="str">
        <x:v>Dashboard/siren</x:v>
      </x:c>
      <x:c r="G10" s="17" t="str">
        <x:v>Under 5 sec target</x:v>
      </x:c>
    </x:row>
    <x:row r="11">
      <x:c r="A11" s="17" t="n">
        <x:v>7</x:v>
      </x:c>
      <x:c r="B11" s="17" t="str">
        <x:v>Dashboard</x:v>
      </x:c>
      <x:c r="C11" s="17" t="str">
        <x:v>API/SSE/camera streams</x:v>
      </x:c>
      <x:c r="D11" s="17" t="str">
        <x:v>Render current state</x:v>
      </x:c>
      <x:c r="E11" s="17" t="str">
        <x:v>Operator view</x:v>
      </x:c>
      <x:c r="F11" s="17" t="str">
        <x:v>Phone/laptop</x:v>
      </x:c>
      <x:c r="G11" s="17" t="str">
        <x:v>Live + 1 min data cadence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GitHub Workflow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Required workflow for keeping code and workbook synchronized.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Step</x:v>
      </x:c>
      <x:c r="B4" s="16" t="str">
        <x:v>Action</x:v>
      </x:c>
      <x:c r="C4" s="16" t="str">
        <x:v>Command / Tool</x:v>
      </x:c>
      <x:c r="D4" s="16" t="str">
        <x:v>Workbook Update</x:v>
      </x:c>
      <x:c r="E4" s="16" t="str">
        <x:v>GitHub Requirement</x:v>
      </x:c>
      <x:c r="F4" s="16" t="str">
        <x:v>Status</x:v>
      </x:c>
    </x:row>
    <x:row r="5">
      <x:c r="A5" s="17" t="n">
        <x:v>1</x:v>
      </x:c>
      <x:c r="B5" s="17" t="str">
        <x:v>Initialize local repo</x:v>
      </x:c>
      <x:c r="C5" s="17" t="str">
        <x:v>git init</x:v>
      </x:c>
      <x:c r="D5" s="17" t="str">
        <x:v>Progress + Change Log</x:v>
      </x:c>
      <x:c r="E5" s="17" t="str">
        <x:v>Local repo created; remote still required</x:v>
      </x:c>
      <x:c r="F5" s="17" t="str">
        <x:v>Done locally</x:v>
      </x:c>
    </x:row>
    <x:row r="6">
      <x:c r="A6" s="17" t="n">
        <x:v>2</x:v>
      </x:c>
      <x:c r="B6" s="17" t="str">
        <x:v>Provide target GitHub repo and branch</x:v>
      </x:c>
      <x:c r="C6" s="17" t="str">
        <x:v>User supplies owner/repo + branch</x:v>
      </x:c>
      <x:c r="D6" s="17" t="str">
        <x:v>Update README and Dashboard</x:v>
      </x:c>
      <x:c r="E6" s="17" t="str">
        <x:v>Repo created: pagibetech/adm-firenode-forest-monitoring</x:v>
      </x:c>
      <x:c r="F6" s="17" t="str">
        <x:v>Done</x:v>
      </x:c>
    </x:row>
    <x:row r="7">
      <x:c r="A7" s="17" t="n">
        <x:v>3</x:v>
      </x:c>
      <x:c r="B7" s="17" t="str">
        <x:v>Import current code artifacts</x:v>
      </x:c>
      <x:c r="C7" s="17" t="str">
        <x:v>Unzip RPi code, add ESP32 firmware</x:v>
      </x:c>
      <x:c r="D7" s="17" t="str">
        <x:v>Progress Tracker</x:v>
      </x:c>
      <x:c r="E7" s="17" t="str">
        <x:v>Commit code baseline</x:v>
      </x:c>
      <x:c r="F7" s="17" t="str">
        <x:v>Done locally</x:v>
      </x:c>
    </x:row>
    <x:row r="8">
      <x:c r="A8" s="17" t="n">
        <x:v>4</x:v>
      </x:c>
      <x:c r="B8" s="17" t="str">
        <x:v>Place workbook in docs/workbook</x:v>
      </x:c>
      <x:c r="C8" s="17" t="str">
        <x:v>docs/workbook/ADM_FireNode_Implementation_Workbook.xlsx</x:v>
      </x:c>
      <x:c r="D8" s="17" t="str">
        <x:v>This workbook</x:v>
      </x:c>
      <x:c r="E8" s="17" t="str">
        <x:v>Commit workbook with code</x:v>
      </x:c>
      <x:c r="F8" s="17" t="str">
        <x:v>Done locally</x:v>
      </x:c>
    </x:row>
    <x:row r="9">
      <x:c r="A9" s="17" t="n">
        <x:v>5</x:v>
      </x:c>
      <x:c r="B9" s="17" t="str">
        <x:v>Every major step</x:v>
      </x:c>
      <x:c r="C9" s="17" t="str">
        <x:v>Edit code, run tests, update workbook</x:v>
      </x:c>
      <x:c r="D9" s="17" t="str">
        <x:v>Progress/Change/Issue/Decision logs</x:v>
      </x:c>
      <x:c r="E9" s="17" t="str">
        <x:v>Commit together</x:v>
      </x:c>
      <x:c r="F9" s="17" t="str">
        <x:v>Policy</x:v>
      </x:c>
    </x:row>
    <x:row r="10">
      <x:c r="A10" s="17" t="n">
        <x:v>6</x:v>
      </x:c>
      <x:c r="B10" s="17" t="str">
        <x:v>Open PR or push branch</x:v>
      </x:c>
      <x:c r="C10" s="17" t="str">
        <x:v>GitHub connector or git push</x:v>
      </x:c>
      <x:c r="D10" s="17" t="str">
        <x:v>Record commit/PR link</x:v>
      </x:c>
      <x:c r="E10" s="17" t="str">
        <x:v>Baseline pushed to main commit 05e1a77</x:v>
      </x:c>
      <x:c r="F10" s="17" t="str">
        <x:v>Done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Codex Task Prompts</x:v>
      </x:c>
      <x:c r="B1" s="4"/>
      <x:c r="C1" s="4"/>
      <x:c r="D1" s="4"/>
      <x:c r="E1" s="4"/>
      <x:c r="F1" s="4"/>
      <x:c r="G1" s="4"/>
      <x:c r="H1" s="4"/>
    </x:row>
    <x:row r="2">
      <x:c r="A2" s="6" t="str">
        <x:v>Reusable prompts so future chat sessions can continue without losing context.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Prompt Name</x:v>
      </x:c>
      <x:c r="B4" s="16" t="str">
        <x:v>Use When</x:v>
      </x:c>
      <x:c r="C4" s="16" t="str">
        <x:v>Prompt Text</x:v>
      </x:c>
    </x:row>
    <x:row r="5">
      <x:c r="A5" s="17" t="str">
        <x:v>Resume Project</x:v>
      </x:c>
      <x:c r="B5" s="17" t="str">
        <x:v>New chat/session</x:v>
      </x:c>
      <x:c r="C5" s="17" t="str">
        <x:v>Read docs/workbook/ADM_FireNode_Implementation_Workbook.xlsx first. Treat it as the source of truth. Summarize current status, blockers, next step, and latest decisions before editing code.</x:v>
      </x:c>
    </x:row>
    <x:row r="6">
      <x:c r="A6" s="17" t="str">
        <x:v>Update Workbook After Step</x:v>
      </x:c>
      <x:c r="B6" s="17" t="str">
        <x:v>After any major implementation step</x:v>
      </x:c>
      <x:c r="C6" s="17" t="str">
        <x:v>Update Progress Tracker, Change Log, Decision Log or Issue Log, and any affected technical sheet. Include date, evidence, files changed, tests run, and next action.</x:v>
      </x:c>
    </x:row>
    <x:row r="7">
      <x:c r="A7" s="17" t="str">
        <x:v>Implement Next Step</x:v>
      </x:c>
      <x:c r="B7" s="17" t="str">
        <x:v>Coding session</x:v>
      </x:c>
      <x:c r="C7" s="17" t="str">
        <x:v>Use the workbook Phase Plan and Detailed Steps. Implement the first unblocked Not Started/In Progress task, run relevant tests, then update workbook and prepare GitHub commit.</x:v>
      </x:c>
    </x:row>
    <x:row r="8">
      <x:c r="A8" s="17" t="str">
        <x:v>Field Test Recording</x:v>
      </x:c>
      <x:c r="B8" s="17" t="str">
        <x:v>After hardware test</x:v>
      </x:c>
      <x:c r="C8" s="17" t="str">
        <x:v>Add field test results to Test Campaign with date, node, test ID, measured values, pass/fail, photos/log references, and issues discovered.</x:v>
      </x:c>
    </x:row>
    <x:row r="9">
      <x:c r="A9" s="17" t="str">
        <x:v>GitHub Sync</x:v>
      </x:c>
      <x:c r="B9" s="17" t="str">
        <x:v>Before ending work</x:v>
      </x:c>
      <x:c r="C9" s="17" t="str">
        <x:v>Confirm git status, commit code and workbook together, push to the agreed branch, and record commit hash/PR link in Change Log.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Repo Structure</x:v>
      </x:c>
      <x:c r="B1" s="4"/>
      <x:c r="C1" s="4"/>
      <x:c r="D1" s="4"/>
      <x:c r="E1" s="4"/>
      <x:c r="F1" s="4"/>
      <x:c r="G1" s="4"/>
      <x:c r="H1" s="4"/>
    </x:row>
    <x:row r="2">
      <x:c r="A2" s="6" t="str">
        <x:v>Proposed GitHub repository layout.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Path</x:v>
      </x:c>
      <x:c r="B4" s="16" t="str">
        <x:v>Purpose</x:v>
      </x:c>
      <x:c r="C4" s="16" t="str">
        <x:v>Initial Source</x:v>
      </x:c>
      <x:c r="D4" s="16" t="str">
        <x:v>Status</x:v>
      </x:c>
      <x:c r="E4" s="16" t="str">
        <x:v>Notes</x:v>
      </x:c>
    </x:row>
    <x:row r="5">
      <x:c r="A5" s="17" t="str">
        <x:v>docs/workbook/ADM_FireNode_Implementation_Workbook.xlsx</x:v>
      </x:c>
      <x:c r="B5" s="17" t="str">
        <x:v>Living project reference</x:v>
      </x:c>
      <x:c r="C5" s="17" t="str">
        <x:v>Created by Codex</x:v>
      </x:c>
      <x:c r="D5" s="17" t="str">
        <x:v>Created Locally</x:v>
      </x:c>
      <x:c r="E5" s="17" t="str">
        <x:v>Commit once repo exists.</x:v>
      </x:c>
    </x:row>
    <x:row r="6">
      <x:c r="A6" s="17" t="str">
        <x:v>docs/artifacts/</x:v>
      </x:c>
      <x:c r="B6" s="17" t="str">
        <x:v>PDF/PNG/meeting references or summaries</x:v>
      </x:c>
      <x:c r="C6" s="17" t="str">
        <x:v>User artifacts</x:v>
      </x:c>
      <x:c r="D6" s="17" t="str">
        <x:v>Pending</x:v>
      </x:c>
      <x:c r="E6" s="17" t="str">
        <x:v>Avoid committing huge video unless desired; store transcript/summary.</x:v>
      </x:c>
    </x:row>
    <x:row r="7">
      <x:c r="A7" s="17" t="str">
        <x:v>firmware/esp32-firenode/</x:v>
      </x:c>
      <x:c r="B7" s="17" t="str">
        <x:v>ESP32 sensor + LoRa firmware</x:v>
      </x:c>
      <x:c r="C7" s="17" t="str">
        <x:v>ESP/FireNode_ESP32_v5</x:v>
      </x:c>
      <x:c r="D7" s="17" t="str">
        <x:v>Pending</x:v>
      </x:c>
      <x:c r="E7" s="17" t="str">
        <x:v>PlatformIO project.</x:v>
      </x:c>
    </x:row>
    <x:row r="8">
      <x:c r="A8" s="17" t="str">
        <x:v>raspi/firenode-system/</x:v>
      </x:c>
      <x:c r="B8" s="17" t="str">
        <x:v>Main/node Flask app</x:v>
      </x:c>
      <x:c r="C8" s="17" t="str">
        <x:v>RPi v4 ZIP</x:v>
      </x:c>
      <x:c r="D8" s="17" t="str">
        <x:v>Created Locally</x:v>
      </x:c>
      <x:c r="E8" s="17" t="str">
        <x:v>Refactor role-specific config.</x:v>
      </x:c>
    </x:row>
    <x:row r="9">
      <x:c r="A9" s="17" t="str">
        <x:v>raspi/services/lora_gateway.py</x:v>
      </x:c>
      <x:c r="B9" s="17" t="str">
        <x:v>Main LoRa receiver service</x:v>
      </x:c>
      <x:c r="C9" s="17" t="str">
        <x:v>New</x:v>
      </x:c>
      <x:c r="D9" s="17" t="str">
        <x:v>Pending</x:v>
      </x:c>
      <x:c r="E9" s="17" t="str">
        <x:v>SPI or serial bridge.</x:v>
      </x:c>
    </x:row>
    <x:row r="10">
      <x:c r="A10" s="17" t="str">
        <x:v>raspi/services/recorder.py</x:v>
      </x:c>
      <x:c r="B10" s="17" t="str">
        <x:v>Camera event recording worker</x:v>
      </x:c>
      <x:c r="C10" s="17" t="str">
        <x:v>New</x:v>
      </x:c>
      <x:c r="D10" s="17" t="str">
        <x:v>Pending</x:v>
      </x:c>
      <x:c r="E10" s="17" t="str">
        <x:v>ffmpeg/OpenCV.</x:v>
      </x:c>
    </x:row>
    <x:row r="11">
      <x:c r="A11" s="17" t="str">
        <x:v>raspi/tests/</x:v>
      </x:c>
      <x:c r="B11" s="17" t="str">
        <x:v>Unit/integration tests</x:v>
      </x:c>
      <x:c r="C11" s="17" t="str">
        <x:v>New</x:v>
      </x:c>
      <x:c r="D11" s="17" t="str">
        <x:v>Pending</x:v>
      </x:c>
      <x:c r="E11" s="17" t="str">
        <x:v>Mock hardware where possible.</x:v>
      </x:c>
    </x:row>
    <x:row r="12">
      <x:c r="A12" s="17" t="str">
        <x:v>.github/workflows/ci.yml</x:v>
      </x:c>
      <x:c r="B12" s="17" t="str">
        <x:v>Python + PlatformIO CI</x:v>
      </x:c>
      <x:c r="C12" s="17" t="str">
        <x:v>New</x:v>
      </x:c>
      <x:c r="D12" s="17" t="str">
        <x:v>Pending</x:v>
      </x:c>
      <x:c r="E12" s="17" t="str">
        <x:v>After repo exists.</x:v>
      </x:c>
    </x:row>
    <x:row r="13">
      <x:c r="A13" s="17" t="str">
        <x:v>README.md</x:v>
      </x:c>
      <x:c r="B13" s="17" t="str">
        <x:v>Project overview and run instructions</x:v>
      </x:c>
      <x:c r="C13" s="17" t="str">
        <x:v>New</x:v>
      </x:c>
      <x:c r="D13" s="17" t="str">
        <x:v>Pending</x:v>
      </x:c>
      <x:c r="E13" s="17" t="str">
        <x:v>Should link workbook.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.700000762939453" hidden="0" customWidth="1"/>
    <x:col min="2" max="2" width="31.290000915527344" hidden="0" customWidth="1"/>
    <x:col min="3" max="3" width="31.290000915527344" hidden="0" customWidth="1"/>
    <x:col min="4" max="4" width="17.790000915527344" hidden="0" customWidth="1"/>
    <x:col min="5" max="5" width="17.790000915527344" hidden="0" customWidth="1"/>
    <x:col min="6" max="6" width="17.790000915527344" hidden="0" customWidth="1"/>
    <x:col min="7" max="7" width="28.829999923706055" hidden="0" customWidth="1"/>
    <x:col min="8" max="8" width="36.20000076293945" hidden="0" customWidth="1"/>
    <x:col min="9" max="9" width="28.829999923706055" hidden="0" customWidth="1"/>
    <x:col min="10" max="10" width="21.469999313354492" hidden="0" customWidth="1"/>
  </x:cols>
  <x:sheetData>
    <x:row r="1">
      <x:c r="A1" s="4" t="str">
        <x:v>Change Log</x:v>
      </x:c>
      <x:c r="B1" s="4"/>
      <x:c r="C1" s="4"/>
      <x:c r="D1" s="4"/>
      <x:c r="E1" s="4"/>
      <x:c r="F1" s="4"/>
      <x:c r="G1" s="4"/>
      <x:c r="H1" s="4"/>
    </x:row>
    <x:row r="2">
      <x:c r="A2" s="6" t="str">
        <x:v>Chronological log of workbook/code changes.</x:v>
      </x:c>
      <x:c r="B2" s="6"/>
      <x:c r="C2" s="6"/>
      <x:c r="D2" s="6"/>
      <x:c r="E2" s="6"/>
      <x:c r="F2" s="6"/>
      <x:c r="G2" s="6"/>
      <x:c r="H2" s="6"/>
    </x:row>
    <x:row r="4">
      <x:c r="A4" s="16" t="str">
        <x:v>Change ID</x:v>
      </x:c>
      <x:c r="B4" s="16" t="str">
        <x:v>Date</x:v>
      </x:c>
      <x:c r="C4" s="16" t="str">
        <x:v>Type</x:v>
      </x:c>
      <x:c r="D4" s="16" t="str">
        <x:v>Summary</x:v>
      </x:c>
      <x:c r="E4" s="16" t="str">
        <x:v>Files / Sheets</x:v>
      </x:c>
      <x:c r="F4" s="16" t="str">
        <x:v>Tests / Verification</x:v>
      </x:c>
      <x:c r="G4" s="16" t="str">
        <x:v>Git Commit / PR</x:v>
      </x:c>
      <x:c r="H4" s="16" t="str">
        <x:v>Next Step</x:v>
      </x:c>
    </x:row>
    <x:row r="5">
      <x:c r="A5" s="17" t="str">
        <x:v>C001</x:v>
      </x:c>
      <x:c r="B5" s="17" t="str">
        <x:v>2026-05-13</x:v>
      </x:c>
      <x:c r="C5" s="17" t="str">
        <x:v>Workbook</x:v>
      </x:c>
      <x:c r="D5" s="17" t="str">
        <x:v>Created ADM FireNode implementation workbook from reference format and all gathered FireNode requirements</x:v>
      </x:c>
      <x:c r="E5" s="17" t="str">
        <x:v>All workbook sheets</x:v>
      </x:c>
      <x:c r="F5" s="17" t="str">
        <x:v>Workbook inspected/rendered locally</x:v>
      </x:c>
      <x:c r="G5" s="17" t="str">
        <x:v>Pending GitHub repo</x:v>
      </x:c>
      <x:c r="H5" s="17" t="str">
        <x:v>Provide repo/branch and commit workbook</x:v>
      </x:c>
    </x:row>
    <x:row r="6">
      <x:c r="A6" s="17" t="str">
        <x:v>C002</x:v>
      </x:c>
      <x:c r="B6" s="17" t="str">
        <x:v>2026-05-13</x:v>
      </x:c>
      <x:c r="C6" s="17" t="str">
        <x:v>Repository</x:v>
      </x:c>
      <x:c r="D6" s="17" t="str">
        <x:v>Initialized local Git repo, created clean baseline folders, imported RPi v4 app and ESP32 v5 firmware, added simulation start docs/script</x:v>
      </x:c>
      <x:c r="E6" s="17" t="str">
        <x:v>.gitignore; README.md; raspi/; firmware/; simulation/; scripts/; docs/artifacts</x:v>
      </x:c>
      <x:c r="F6" s="17" t="str">
        <x:v>python3 -m compileall -q raspi/firenode-system</x:v>
      </x:c>
      <x:c r="G6" s="17" t="str">
        <x:v>21004de</x:v>
      </x:c>
      <x:c r="H6" s="17" t="str">
        <x:v>Run simulation baseline and push after remote is provided</x:v>
      </x:c>
    </x:row>
    <x:row r="7">
      <x:c r="A7" s="17" t="str">
        <x:v>C003</x:v>
      </x:c>
      <x:c r="B7" s="17" t="str">
        <x:v>2026-05-13</x:v>
      </x:c>
      <x:c r="C7" s="17" t="str">
        <x:v>Simulation</x:v>
      </x:c>
      <x:c r="D7" s="17" t="str">
        <x:v>Verified main dashboard starts in simulation mode with one main node and three simulated remotes; updated start script to use local venv when present</x:v>
      </x:c>
      <x:c r="E7" s="17" t="str">
        <x:v>scripts/start_main_simulation.sh; raspi/firenode-system/config.json; Progress Tracker; Issue Log; Change Log</x:v>
      </x:c>
      <x:c r="F7" s="17" t="str">
        <x:v>HTTP 200 /; /api/server-dashboard returned 4 nodes and 3 remotes</x:v>
      </x:c>
      <x:c r="G7" s="17" t="str">
        <x:v>Pending commit</x:v>
      </x:c>
      <x:c r="H7" s="17" t="str">
        <x:v>Implement cv2-free local camera simulation fallback</x:v>
      </x:c>
    </x:row>
    <x:row r="8">
      <x:c r="A8" s="17" t="str">
        <x:v>C004</x:v>
      </x:c>
      <x:c r="B8" s="17" t="str">
        <x:v>2026-05-13</x:v>
      </x:c>
      <x:c r="C8" s="17" t="str">
        <x:v>Simulation</x:v>
      </x:c>
      <x:c r="D8" s="17" t="str">
        <x:v>Added cv2-free PIL fallback for the main node camera in simulation mode and suppressed macOS hostname warning</x:v>
      </x:c>
      <x:c r="E8" s="17" t="str">
        <x:v>modules/camera_stream.py; modules/network_utils.py; app.py; Progress Tracker; Issue Log; Change Log</x:v>
      </x:c>
      <x:c r="F8" s="17" t="str">
        <x:v>compileall passed; /api/server-dashboard local camera running=true simulation=true; /video_feed/0 returned MJPEG</x:v>
      </x:c>
      <x:c r="G8" s="17" t="str">
        <x:v>Pending commit</x:v>
      </x:c>
      <x:c r="H8" s="17" t="str">
        <x:v>Implement LoRa packet simulation/receiver path</x:v>
      </x:c>
    </x:row>
    <x:row r="9">
      <x:c r="A9" s="17" t="str">
        <x:v>C005</x:v>
      </x:c>
      <x:c r="B9" s="17" t="str">
        <x:v>2026-05-13</x:v>
      </x:c>
      <x:c r="C9" s="17" t="str">
        <x:v>LoRa Simulation</x:v>
      </x:c>
      <x:c r="D9" s="17" t="str">
        <x:v>Added simulated LoRa receiver packet contract, dashboard fields, and API endpoint for RSSI/SNR/PDR/sequence/battery telemetry</x:v>
      </x:c>
      <x:c r="E9" s="17" t="str">
        <x:v>modules/lora_simulator.py; app.py; static/app.js; simulation/README.md; scripts/start_main_simulation.sh; Progress Tracker; Change Log</x:v>
      </x:c>
      <x:c r="F9" s="17" t="str">
        <x:v>compileall passed; /api/lora/status active_nodes=4; /api/server-dashboard includes lora packet for main node</x:v>
      </x:c>
      <x:c r="G9" s="17" t="str">
        <x:v>Pending commit</x:v>
      </x:c>
      <x:c r="H9" s="17" t="str">
        <x:v>Implement real LoRa receiver adapter and SQLite packet store</x:v>
      </x:c>
    </x:row>
    <x:row r="10">
      <x:c r="A10" s="17" t="str">
        <x:v>C006</x:v>
      </x:c>
      <x:c r="B10" s="17" t="str">
        <x:v>2026-05-13</x:v>
      </x:c>
      <x:c r="C10" s="17" t="str">
        <x:v>LoRa Storage</x:v>
      </x:c>
      <x:c r="D10" s="17" t="str">
        <x:v>Added SQLite LoRa packet store plus /api/lora/packets and /api/lora/ingest so simulated and future hardware packets share persistence</x:v>
      </x:c>
      <x:c r="E10" s="17" t="str">
        <x:v>modules/lora_packet_store.py; app.py; simulation/README.md; Progress Tracker; Change Log</x:v>
      </x:c>
      <x:c r="F10" s="17" t="str">
        <x:v>compileall passed; /api/lora/status stored_packet_count=8; /api/lora/packets returned rows</x:v>
      </x:c>
      <x:c r="G10" s="17" t="str">
        <x:v>Pending commit</x:v>
      </x:c>
      <x:c r="H10" s="17" t="str">
        <x:v>Implement real LoRa receiver adapter</x:v>
      </x:c>
    </x:row>
    <x:row r="11">
      <x:c r="A11" s="17" t="str">
        <x:v>C007</x:v>
      </x:c>
      <x:c r="B11" s="17" t="str">
        <x:v>2026-05-13</x:v>
      </x:c>
      <x:c r="C11" s="17" t="str">
        <x:v>LoRa Gateway</x:v>
      </x:c>
      <x:c r="D11" s="17" t="str">
        <x:v>Added serial gateway adapter for ESP32/SX127x JSON-line LoRa packets and documented first hardware bridge command</x:v>
      </x:c>
      <x:c r="E11" s="17" t="str">
        <x:v>lora_gateway_serial.py; requirements.txt; simulation/README.md; Progress Tracker; Change Log</x:v>
      </x:c>
      <x:c r="F11" s="17" t="str">
        <x:v>compileall passed</x:v>
      </x:c>
      <x:c r="G11" s="17" t="str">
        <x:v>Pending commit</x:v>
      </x:c>
      <x:c r="H11" s="17" t="str">
        <x:v>Build ESP32 gateway firmware packet output</x:v>
      </x:c>
    </x:row>
    <x:row r="12">
      <x:c r="A12" s="17" t="str">
        <x:v>C008</x:v>
      </x:c>
      <x:c r="B12" s="17" t="str">
        <x:v>2026-05-13</x:v>
      </x:c>
      <x:c r="C12" s="17" t="str">
        <x:v>Firmware</x:v>
      </x:c>
      <x:c r="D12" s="17" t="str">
        <x:v>Added dedicated ESP32 LoRa gateway firmware project that receives SX1278 packets, normalizes metadata, and emits one JSON packet per serial line</x:v>
      </x:c>
      <x:c r="E12" s="17" t="str">
        <x:v>firmware/esp32-lora-gateway; lora_gateway_serial.py; Progress Tracker; Change Log</x:v>
      </x:c>
      <x:c r="F12" s="17" t="str">
        <x:v>Python parser smoke test passed; PlatformIO not installed locally, so firmware compile not run</x:v>
      </x:c>
      <x:c r="G12" s="17" t="str">
        <x:v>Pending commit</x:v>
      </x:c>
      <x:c r="H12" s="17" t="str">
        <x:v>Add automated tests for LoRa parser/store APIs</x:v>
      </x:c>
    </x:row>
    <x:row r="13">
      <x:c r="A13" s="17" t="str">
        <x:v>C009</x:v>
      </x:c>
      <x:c r="B13" s="17" t="str">
        <x:v>2026-05-13</x:v>
      </x:c>
      <x:c r="C13" s="17" t="str">
        <x:v>Tests</x:v>
      </x:c>
      <x:c r="D13" s="17" t="str">
        <x:v>Added unittest coverage for LoRa serial parsing, SQLite packet dedupe/history, and simulator packet metrics</x:v>
      </x:c>
      <x:c r="E13" s="17" t="str">
        <x:v>raspi/firenode-system/tests/test_lora_pipeline.py; scripts/run_raspi_tests.sh; Progress Tracker; Change Log</x:v>
      </x:c>
      <x:c r="F13" s="17" t="str">
        <x:v>./scripts/run_raspi_tests.sh: 4 tests OK</x:v>
      </x:c>
      <x:c r="G13" s="17" t="str">
        <x:v>Pending commit</x:v>
      </x:c>
      <x:c r="H13" s="17" t="str">
        <x:v>Implement camera recording on chainsaw event</x:v>
      </x:c>
    </x:row>
    <x:row r="14">
      <x:c r="A14" s="17" t="str">
        <x:v>C010</x:v>
      </x:c>
      <x:c r="B14" s="17" t="str">
        <x:v>2026-05-13</x:v>
      </x:c>
      <x:c r="C14" s="17" t="str">
        <x:v>Recording</x:v>
      </x:c>
      <x:c r="D14" s="17" t="str">
        <x:v>Added event recorder that saves chainsaw camera snapshots plus metadata and exposes /api/recordings</x:v>
      </x:c>
      <x:c r="E14" s="17" t="str">
        <x:v>modules/event_recorder.py; app.py; tests/test_lora_pipeline.py; Progress Tracker; Change Log</x:v>
      </x:c>
      <x:c r="F14" s="17" t="str">
        <x:v>./scripts/run_raspi_tests.sh: 5 tests OK</x:v>
      </x:c>
      <x:c r="G14" s="17" t="str">
        <x:v>Pending commit</x:v>
      </x:c>
      <x:c r="H14" s="17" t="str">
        <x:v>Add dashboard recording list</x:v>
      </x:c>
    </x:row>
    <x:row r="15">
      <x:c r="A15" s="17" t="str">
        <x:v>C011</x:v>
      </x:c>
      <x:c r="B15" s="17" t="str">
        <x:v>2026-05-13</x:v>
      </x:c>
      <x:c r="C15" s="17" t="str">
        <x:v>Dashboard</x:v>
      </x:c>
      <x:c r="D15" s="17" t="str">
        <x:v>Added recent recordings panel and /media route so chainsaw snapshots can be reviewed in the web GUI</x:v>
      </x:c>
      <x:c r="E15" s="17" t="str">
        <x:v>templates/dashboard.html; static/app.js; static/style.css; app.py; Progress Tracker; Change Log</x:v>
      </x:c>
      <x:c r="F15" s="17" t="str">
        <x:v>./scripts/run_raspi_tests.sh: 5 tests OK; / and /api/recordings returned 200</x:v>
      </x:c>
      <x:c r="G15" s="17" t="str">
        <x:v>Pending commit</x:v>
      </x:c>
      <x:c r="H15" s="17" t="str">
        <x:v>Add CI workflow</x:v>
      </x:c>
    </x:row>
    <x:row r="16">
      <x:c r="A16" s="17" t="str">
        <x:v>C012</x:v>
      </x:c>
      <x:c r="B16" s="17" t="str">
        <x:v>2026-05-13</x:v>
      </x:c>
      <x:c r="C16" s="17" t="str">
        <x:v>CI/CD</x:v>
      </x:c>
      <x:c r="D16" s="17" t="str">
        <x:v>Added GitHub Actions workflow for Python app tests, compileall, and PlatformIO builds for sender and gateway firmware</x:v>
      </x:c>
      <x:c r="E16" s="17" t="str">
        <x:v>.github/workflows/ci.yml; Progress Tracker; Change Log</x:v>
      </x:c>
      <x:c r="F16" s="17" t="str">
        <x:v>./scripts/run_raspi_tests.sh: 5 tests OK; PlatformIO unavailable locally</x:v>
      </x:c>
      <x:c r="G16" s="17" t="str">
        <x:v>Pending commit</x:v>
      </x:c>
      <x:c r="H16" s="17" t="str">
        <x:v>Add deployment/systemd scripts</x:v>
      </x:c>
    </x:row>
    <x:row r="17">
      <x:c r="A17" s="17" t="str">
        <x:v>C013</x:v>
      </x:c>
      <x:c r="B17" s="17" t="str">
        <x:v>2026-05-13</x:v>
      </x:c>
      <x:c r="C17" s="17" t="str">
        <x:v>Deployment</x:v>
      </x:c>
      <x:c r="D17" s="17" t="str">
        <x:v>Added systemd install/stop scripts for the LoRa serial gateway bridge and documented gateway service operations</x:v>
      </x:c>
      <x:c r="E17" s="17" t="str">
        <x:v>install_lora_gateway_service.sh; stop_lora_gateway_service.sh; README.md; Progress Tracker; Change Log</x:v>
      </x:c>
      <x:c r="F17" s="17" t="str">
        <x:v>bash -n scripts passed; ./scripts/run_raspi_tests.sh: 5 tests OK</x:v>
      </x:c>
      <x:c r="G17" s="17" t="str">
        <x:v>Pending commit</x:v>
      </x:c>
      <x:c r="H17" s="17" t="str">
        <x:v>Add API smoke-test script</x:v>
      </x:c>
    </x:row>
    <x:row r="18">
      <x:c r="A18" s="17" t="str">
        <x:v>C014</x:v>
      </x:c>
      <x:c r="B18" s="17" t="str">
        <x:v>2026-05-13</x:v>
      </x:c>
      <x:c r="C18" s="17" t="str">
        <x:v>Testing</x:v>
      </x:c>
      <x:c r="D18" s="17" t="str">
        <x:v>Added end-to-end simulation smoke test and wired it into CI</x:v>
      </x:c>
      <x:c r="E18" s="17" t="str">
        <x:v>scripts/smoke_test_main_simulation.py; .github/workflows/ci.yml; Progress Tracker; Change Log</x:v>
      </x:c>
      <x:c r="F18" s="17" t="str">
        <x:v>./scripts/smoke_test_main_simulation.py passed</x:v>
      </x:c>
      <x:c r="G18" s="17" t="str">
        <x:v>Pending commit</x:v>
      </x:c>
      <x:c r="H18" s="17" t="str">
        <x:v>Add field deployment checklist/docs</x:v>
      </x:c>
    </x:row>
    <x:row r="19">
      <x:c r="A19" s="17" t="str">
        <x:v>C015</x:v>
      </x:c>
      <x:c r="B19" s="17" t="str">
        <x:v>2026-05-13</x:v>
      </x:c>
      <x:c r="C19" s="17" t="str">
        <x:v>Deployment</x:v>
      </x:c>
      <x:c r="D19" s="17" t="str">
        <x:v>Added field deployment checklist covering bench prep, node install, LoRa validation, camera/recording checks, alert validation, and shutdown</x:v>
      </x:c>
      <x:c r="E19" s="17" t="str">
        <x:v>docs/deployment/field_deployment_checklist.md; Progress Tracker; Change Log</x:v>
      </x:c>
      <x:c r="F19" s="17" t="str">
        <x:v>Documentation review</x:v>
      </x:c>
      <x:c r="G19" s="17" t="str">
        <x:v>Pending commit</x:v>
      </x:c>
      <x:c r="H19" s="17" t="str">
        <x:v>Add hardware wiring reference</x:v>
      </x:c>
    </x:row>
    <x:row r="20">
      <x:c r="A20" s="17" t="str">
        <x:v>C016</x:v>
      </x:c>
      <x:c r="B20" s="17" t="str">
        <x:v>2026-05-13</x:v>
      </x:c>
      <x:c r="C20" s="17" t="str">
        <x:v>Hardware</x:v>
      </x:c>
      <x:c r="D20" s="17" t="str">
        <x:v>Added wiring reference for ESP32 sensor sender, ESP32 LoRa gateway, main/remote Raspberry Pi devices, power notes, and open hardware decisions</x:v>
      </x:c>
      <x:c r="E20" s="17" t="str">
        <x:v>docs/hardware/wiring_reference.md; Progress Tracker; Change Log</x:v>
      </x:c>
      <x:c r="F20" s="17" t="str">
        <x:v>Documentation review</x:v>
      </x:c>
      <x:c r="G20" s="17" t="str">
        <x:v>Pending commit</x:v>
      </x:c>
      <x:c r="H20" s="17" t="str">
        <x:v>Add README links to new docs</x:v>
      </x:c>
    </x:row>
    <x:row r="21">
      <x:c r="A21" s="17" t="str">
        <x:v>C017</x:v>
      </x:c>
      <x:c r="B21" s="17" t="str">
        <x:v>2026-05-13</x:v>
      </x:c>
      <x:c r="C21" s="17" t="str">
        <x:v>Documentation</x:v>
      </x:c>
      <x:c r="D21" s="17" t="str">
        <x:v>Updated top-level README with fast start commands, current build path, and links to key project references</x:v>
      </x:c>
      <x:c r="E21" s="17" t="str">
        <x:v>README.md; Progress Tracker; Change Log</x:v>
      </x:c>
      <x:c r="F21" s="17" t="str">
        <x:v>Documentation review</x:v>
      </x:c>
      <x:c r="G21" s="17" t="str">
        <x:v>Pending commit</x:v>
      </x:c>
      <x:c r="H21" s="17" t="str">
        <x:v>Add release/package script</x:v>
      </x:c>
    </x:row>
    <x:row r="22">
      <x:c r="A22" s="17" t="str">
        <x:v>C018</x:v>
      </x:c>
      <x:c r="B22" s="17" t="str">
        <x:v>2026-05-13</x:v>
      </x:c>
      <x:c r="C22" s="17" t="str">
        <x:v>Release</x:v>
      </x:c>
      <x:c r="D22" s="17" t="str">
        <x:v>Added release packaging script that uses git archive to create a clean zip under dist</x:v>
      </x:c>
      <x:c r="E22" s="17" t="str">
        <x:v>scripts/package_release.sh; Progress Tracker; Change Log</x:v>
      </x:c>
      <x:c r="F22" s="17" t="str">
        <x:v>./scripts/package_release.sh produced dist zip</x:v>
      </x:c>
      <x:c r="G22" s="17" t="str">
        <x:v>Pending commit</x:v>
      </x:c>
      <x:c r="H22" s="17" t="str">
        <x:v>Add packet schema documentation</x:v>
      </x:c>
    </x:row>
    <x:row r="23">
      <x:c r="A23" s="17" t="str">
        <x:v>C019</x:v>
      </x:c>
      <x:c r="B23" s="17" t="str">
        <x:v>2026-05-13</x:v>
      </x:c>
      <x:c r="C23" s="17" t="str">
        <x:v>Documentation</x:v>
      </x:c>
      <x:c r="D23" s="17" t="str">
        <x:v>Added LoRa sender payload, gateway serial line, ingest/history/status API, SQLite table, and validation target schema documentation</x:v>
      </x:c>
      <x:c r="E23" s="17" t="str">
        <x:v>docs/api/lora_packet_schema.md; README.md; Progress Tracker; Change Log</x:v>
      </x:c>
      <x:c r="F23" s="17" t="str">
        <x:v>Documentation review</x:v>
      </x:c>
      <x:c r="G23" s="17" t="str">
        <x:v>Pending commit</x:v>
      </x:c>
      <x:c r="H23" s="17" t="str">
        <x:v>Run full local verification</x:v>
      </x:c>
    </x:row>
    <x:row r="24">
      <x:c r="A24" s="17" t="str">
        <x:v>C020</x:v>
      </x:c>
      <x:c r="B24" s="17" t="str">
        <x:v>2026-05-13</x:v>
      </x:c>
      <x:c r="C24" s="17" t="str">
        <x:v>Verification</x:v>
      </x:c>
      <x:c r="D24" s="17" t="str">
        <x:v>Completed full local verification checkpoint after unblocked development steps</x:v>
      </x:c>
      <x:c r="E24" s="17" t="str">
        <x:v>Progress Tracker; Change Log</x:v>
      </x:c>
      <x:c r="F24" s="17" t="str">
        <x:v>./scripts/run_raspi_tests.sh OK; ./scripts/smoke_test_main_simulation.py OK; python3 -m compileall OK; package_release produced dist/adm-firenode-192b1c7-20260514-141016.zip</x:v>
      </x:c>
      <x:c r="G24" s="17" t="str">
        <x:v>Pending commit</x:v>
      </x:c>
      <x:c r="H24" s="17" t="str">
        <x:v>Push to GitHub after remote is provided</x:v>
      </x:c>
    </x:row>
    <x:row r="25">
      <x:c r="A25" s="17" t="str">
        <x:v>C021</x:v>
      </x:c>
      <x:c r="B25" s="17" t="str">
        <x:v>2026-05-13</x:v>
      </x:c>
      <x:c r="C25" s="17" t="str">
        <x:v>GitHub</x:v>
      </x:c>
      <x:c r="D25" s="17" t="str">
        <x:v>Pushed project code, firmware, docs, and workbook to GitHub main; excluded CI workflow because token lacks workflow scope</x:v>
      </x:c>
      <x:c r="E25" s="17" t="str">
        <x:v>Progress Tracker; Issue Log; GitHub Workflow; Change Log; workbook</x:v>
      </x:c>
      <x:c r="F25" s="17" t="str">
        <x:v>git push to https://github.com/pagibetech/adm-firenode-forest-monitoring.git succeeded at commit 05e1a77</x:v>
      </x:c>
      <x:c r="G25" s="17" t="str">
        <x:v>05e1a77 on GitHub</x:v>
      </x:c>
      <x:c r="H25" s="17" t="str">
        <x:v>Enable workflow scope to push CI workflow later</x:v>
      </x:c>
    </x:row>
  </x:sheetData>
  <x:pageMargins left="0.7" right="0.7" top="0.75" bottom="0.75" header="0.3" footer="0.3"/>
</x:worksheet>
</file>